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gonzale\Hexagon_examples\pmu_spreadshet\"/>
    </mc:Choice>
  </mc:AlternateContent>
  <bookViews>
    <workbookView xWindow="6615" yWindow="615" windowWidth="13650" windowHeight="7920" tabRatio="809" activeTab="1"/>
  </bookViews>
  <sheets>
    <sheet name="Version Info" sheetId="7" r:id="rId1"/>
    <sheet name="load_pmu_stats" sheetId="1" r:id="rId2"/>
    <sheet name="CoreView" sheetId="9" r:id="rId3"/>
    <sheet name="ThreadConcurrency" sheetId="11" r:id="rId4"/>
    <sheet name="ClusterView" sheetId="8" r:id="rId5"/>
    <sheet name="ThreadView" sheetId="12" r:id="rId6"/>
    <sheet name="L2CacheMisses" sheetId="15" r:id="rId7"/>
    <sheet name="InsnMix" sheetId="10" r:id="rId8"/>
    <sheet name="HVX" sheetId="13" r:id="rId9"/>
  </sheets>
  <functionGroups builtInGroupCount="18"/>
  <definedNames>
    <definedName name="pmu_statsfile" localSheetId="1">load_pmu_stats!$C$5:$C$170</definedName>
    <definedName name="pmu_statsfile_1" localSheetId="1">load_pmu_stats!$C$5:$C$170</definedName>
    <definedName name="pmu_statsfile_10" localSheetId="1">load_pmu_stats!$C$5:$C$170</definedName>
    <definedName name="pmu_statsfile_103" localSheetId="1">load_pmu_stats!$C$5:$C$165</definedName>
    <definedName name="pmu_statsfile_104" localSheetId="1">load_pmu_stats!$C$5:$C$165</definedName>
    <definedName name="pmu_statsfile_105" localSheetId="1">load_pmu_stats!$C$5:$C$165</definedName>
    <definedName name="pmu_statsfile_11" localSheetId="1">load_pmu_stats!$C$5:$C$170</definedName>
    <definedName name="pmu_statsfile_111" localSheetId="1">load_pmu_stats!$C$5:$C$165</definedName>
    <definedName name="pmu_statsfile_114" localSheetId="1">load_pmu_stats!$C$5:$C$166</definedName>
    <definedName name="pmu_statsfile_115" localSheetId="1">load_pmu_stats!$C$5:$C$166</definedName>
    <definedName name="pmu_statsfile_116" localSheetId="1">load_pmu_stats!$C$5:$C$172</definedName>
    <definedName name="pmu_statsfile_117" localSheetId="1">load_pmu_stats!$C$5:$C$165</definedName>
    <definedName name="pmu_statsfile_118" localSheetId="1">load_pmu_stats!$C$5:$C$165</definedName>
    <definedName name="pmu_statsfile_119" localSheetId="1">load_pmu_stats!$C$5:$C$165</definedName>
    <definedName name="pmu_statsfile_12" localSheetId="1">load_pmu_stats!$C$5:$C$170</definedName>
    <definedName name="pmu_statsfile_121" localSheetId="1">load_pmu_stats!$C$5:$C$165</definedName>
    <definedName name="pmu_statsfile_122" localSheetId="1">load_pmu_stats!$C$5:$C$165</definedName>
    <definedName name="pmu_statsfile_123" localSheetId="1">load_pmu_stats!$C$5:$C$165</definedName>
    <definedName name="pmu_statsfile_125" localSheetId="1">load_pmu_stats!$C$5:$C$165</definedName>
    <definedName name="pmu_statsfile_128" localSheetId="1">load_pmu_stats!$C$5:$C$165</definedName>
    <definedName name="pmu_statsfile_13" localSheetId="1">load_pmu_stats!$C$5:$C$170</definedName>
    <definedName name="pmu_statsfile_130" localSheetId="1">load_pmu_stats!$C$5:$C$165</definedName>
    <definedName name="pmu_statsfile_131" localSheetId="1">load_pmu_stats!$C$5:$C$165</definedName>
    <definedName name="pmu_statsfile_132" localSheetId="1">load_pmu_stats!$C$5:$C$165</definedName>
    <definedName name="pmu_statsfile_133" localSheetId="1">load_pmu_stats!$C$5:$C$165</definedName>
    <definedName name="pmu_statsfile_136" localSheetId="1">load_pmu_stats!$C$5:$C$165</definedName>
    <definedName name="pmu_statsfile_138" localSheetId="1">load_pmu_stats!$C$5:$C$165</definedName>
    <definedName name="pmu_statsfile_139" localSheetId="1">load_pmu_stats!$C$5:$C$165</definedName>
    <definedName name="pmu_statsfile_14" localSheetId="1">load_pmu_stats!$C$5:$C$170</definedName>
    <definedName name="pmu_statsfile_140" localSheetId="1">load_pmu_stats!$C$5:$C$165</definedName>
    <definedName name="pmu_statsfile_141" localSheetId="1">load_pmu_stats!$C$5:$C$165</definedName>
    <definedName name="pmu_statsfile_142" localSheetId="1">load_pmu_stats!$C$5:$C$165</definedName>
    <definedName name="pmu_statsfile_15" localSheetId="1">load_pmu_stats!$C$5:$C$170</definedName>
    <definedName name="pmu_statsfile_16" localSheetId="1">load_pmu_stats!$C$5:$C$170</definedName>
    <definedName name="pmu_statsfile_17" localSheetId="1">load_pmu_stats!$C$5:$C$170</definedName>
    <definedName name="pmu_statsfile_18" localSheetId="1">load_pmu_stats!$C$5:$C$170</definedName>
    <definedName name="pmu_statsfile_19" localSheetId="1">load_pmu_stats!$C$5:$C$170</definedName>
    <definedName name="pmu_statsfile_2" localSheetId="1">load_pmu_stats!$C$5:$C$170</definedName>
    <definedName name="pmu_statsfile_20" localSheetId="1">load_pmu_stats!$C$5:$C$170</definedName>
    <definedName name="pmu_statsfile_21" localSheetId="1">load_pmu_stats!$C$5:$C$170</definedName>
    <definedName name="pmu_statsfile_22" localSheetId="1">load_pmu_stats!$C$5:$C$170</definedName>
    <definedName name="pmu_statsfile_25" localSheetId="1">load_pmu_stats!$C$5:$C$170</definedName>
    <definedName name="pmu_statsfile_26" localSheetId="1">load_pmu_stats!$C$5:$C$170</definedName>
    <definedName name="pmu_statsfile_27" localSheetId="1">load_pmu_stats!$C$5:$C$170</definedName>
    <definedName name="pmu_statsfile_28" localSheetId="1">load_pmu_stats!$C$5:$C$170</definedName>
    <definedName name="pmu_statsfile_29" localSheetId="1">load_pmu_stats!$C$5:$C$170</definedName>
    <definedName name="pmu_statsfile_3" localSheetId="1">load_pmu_stats!$C$5:$C$170</definedName>
    <definedName name="pmu_statsfile_30" localSheetId="1">load_pmu_stats!$C$5:$C$170</definedName>
    <definedName name="pmu_statsfile_31" localSheetId="1">load_pmu_stats!$C$5:$C$160</definedName>
    <definedName name="pmu_statsfile_32" localSheetId="1">load_pmu_stats!$C$5:$C$170</definedName>
    <definedName name="pmu_statsfile_33" localSheetId="1">load_pmu_stats!$C$5:$C$160</definedName>
    <definedName name="pmu_statsfile_34" localSheetId="1">load_pmu_stats!$C$5:$C$165</definedName>
    <definedName name="pmu_statsfile_35" localSheetId="1">load_pmu_stats!$C$5:$C$175</definedName>
    <definedName name="pmu_statsfile_36" localSheetId="1">load_pmu_stats!$C$5:$C$165</definedName>
    <definedName name="pmu_statsfile_37" localSheetId="1">load_pmu_stats!$C$5:$C$170</definedName>
    <definedName name="pmu_statsfile_38" localSheetId="1">load_pmu_stats!$C$5:$C$165</definedName>
    <definedName name="pmu_statsfile_39" localSheetId="1">load_pmu_stats!$C$5:$C$170</definedName>
    <definedName name="pmu_statsfile_4" localSheetId="1">load_pmu_stats!$C$5:$C$170</definedName>
    <definedName name="pmu_statsfile_40" localSheetId="1">load_pmu_stats!$C$5:$C$165</definedName>
    <definedName name="pmu_statsfile_41" localSheetId="1">load_pmu_stats!$C$5:$C$170</definedName>
    <definedName name="pmu_statsfile_42" localSheetId="1">load_pmu_stats!$C$5:$C$165</definedName>
    <definedName name="pmu_statsfile_43" localSheetId="1">load_pmu_stats!$C$5:$C$165</definedName>
    <definedName name="pmu_statsfile_44" localSheetId="1">load_pmu_stats!$C$5:$C$170</definedName>
    <definedName name="pmu_statsfile_45" localSheetId="1">load_pmu_stats!$C$5:$C$165</definedName>
    <definedName name="pmu_statsfile_46" localSheetId="1">load_pmu_stats!$C$5:$C$170</definedName>
    <definedName name="pmu_statsfile_47" localSheetId="1">load_pmu_stats!$C$5:$C$175</definedName>
    <definedName name="pmu_statsfile_48" localSheetId="1">load_pmu_stats!$C$5:$C$175</definedName>
    <definedName name="pmu_statsfile_49" localSheetId="1">load_pmu_stats!$C$5:$C$175</definedName>
    <definedName name="pmu_statsfile_5" localSheetId="1">load_pmu_stats!$C$5:$C$170</definedName>
    <definedName name="pmu_statsfile_50" localSheetId="1">load_pmu_stats!$C$5:$C$175</definedName>
    <definedName name="pmu_statsfile_51" localSheetId="1">load_pmu_stats!$C$5:$C$175</definedName>
    <definedName name="pmu_statsfile_52" localSheetId="1">load_pmu_stats!$C$5:$C$175</definedName>
    <definedName name="pmu_statsfile_53" localSheetId="1">load_pmu_stats!$C$5:$C$175</definedName>
    <definedName name="pmu_statsfile_54" localSheetId="1">load_pmu_stats!$C$5:$C$175</definedName>
    <definedName name="pmu_statsfile_55" localSheetId="1">load_pmu_stats!$C$5:$C$175</definedName>
    <definedName name="pmu_statsfile_56" localSheetId="1">load_pmu_stats!$C$5:$C$165</definedName>
    <definedName name="pmu_statsfile_57" localSheetId="1">load_pmu_stats!$C$5:$C$175</definedName>
    <definedName name="pmu_statsfile_58" localSheetId="1">load_pmu_stats!$C$5:$C$170</definedName>
    <definedName name="pmu_statsfile_59" localSheetId="1">load_pmu_stats!$C$5:$C$160</definedName>
    <definedName name="pmu_statsfile_6" localSheetId="1">load_pmu_stats!$C$5:$C$170</definedName>
    <definedName name="pmu_statsfile_60" localSheetId="1">load_pmu_stats!$C$5:$C$170</definedName>
    <definedName name="pmu_statsfile_61" localSheetId="1">load_pmu_stats!$C$5:$C$170</definedName>
    <definedName name="pmu_statsfile_62" localSheetId="1">load_pmu_stats!$C$5:$C$160</definedName>
    <definedName name="pmu_statsfile_63" localSheetId="1">load_pmu_stats!$C$5:$C$184</definedName>
    <definedName name="pmu_statsfile_64" localSheetId="1">load_pmu_stats!$C$5:$C$160</definedName>
    <definedName name="pmu_statsfile_65" localSheetId="1">load_pmu_stats!$C$5:$C$169</definedName>
    <definedName name="pmu_statsfile_66" localSheetId="1">load_pmu_stats!$C$5:$C$169</definedName>
    <definedName name="pmu_statsfile_67" localSheetId="1">load_pmu_stats!$C$5:$C$170</definedName>
    <definedName name="pmu_statsfile_68" localSheetId="1">load_pmu_stats!$C$5:$C$165</definedName>
    <definedName name="pmu_statsfile_69" localSheetId="1">load_pmu_stats!$C$5:$C$165</definedName>
    <definedName name="pmu_statsfile_7" localSheetId="1">load_pmu_stats!$C$5:$C$170</definedName>
    <definedName name="pmu_statsfile_70" localSheetId="1">load_pmu_stats!$C$5:$C$165</definedName>
    <definedName name="pmu_statsfile_71" localSheetId="1">load_pmu_stats!$C$5:$C$170</definedName>
    <definedName name="pmu_statsfile_73" localSheetId="1">load_pmu_stats!$C$5:$C$165</definedName>
    <definedName name="pmu_statsfile_74" localSheetId="1">load_pmu_stats!$C$5:$C$170</definedName>
    <definedName name="pmu_statsfile_75" localSheetId="1">load_pmu_stats!$C$5:$C$165</definedName>
    <definedName name="pmu_statsfile_76" localSheetId="1">load_pmu_stats!$C$5:$C$165</definedName>
    <definedName name="pmu_statsfile_78" localSheetId="1">load_pmu_stats!$C$5:$C$165</definedName>
    <definedName name="pmu_statsfile_79" localSheetId="1">load_pmu_stats!$C$5:$C$170</definedName>
    <definedName name="pmu_statsfile_8" localSheetId="1">load_pmu_stats!$C$5:$C$170</definedName>
    <definedName name="pmu_statsfile_83" localSheetId="1">load_pmu_stats!$C$5:$C$165</definedName>
    <definedName name="pmu_statsfile_84" localSheetId="1">load_pmu_stats!$C$5:$C$165</definedName>
    <definedName name="pmu_statsfile_89" localSheetId="1">load_pmu_stats!$C$5:$C$165</definedName>
    <definedName name="pmu_statsfile_9" localSheetId="1">load_pmu_stats!$C$5:$C$170</definedName>
    <definedName name="pmu_statsfile_90" localSheetId="1">load_pmu_stats!$C$5:$C$165</definedName>
    <definedName name="pmu_statsfile_91" localSheetId="1">load_pmu_stats!$C$5:$C$165</definedName>
    <definedName name="pmu_statsfile_92" localSheetId="1">load_pmu_stats!$C$5:$C$165</definedName>
    <definedName name="pmu_statsfile_93" localSheetId="1">load_pmu_stats!$C$5:$C$165</definedName>
    <definedName name="pmu_statsfile_94" localSheetId="1">load_pmu_stats!$C$5:$C$165</definedName>
    <definedName name="pmu_statsfile_95" localSheetId="1">load_pmu_stats!$C$5:$C$164</definedName>
    <definedName name="pmu_statsfile_96" localSheetId="1">load_pmu_stats!$C$5:$C$165</definedName>
    <definedName name="pmu_statsfile_97" localSheetId="1">load_pmu_stats!$C$5:$C$165</definedName>
  </definedNames>
  <calcPr calcId="152511"/>
</workbook>
</file>

<file path=xl/calcChain.xml><?xml version="1.0" encoding="utf-8"?>
<calcChain xmlns="http://schemas.openxmlformats.org/spreadsheetml/2006/main">
  <c r="G24" i="1" l="1"/>
  <c r="G20" i="1" s="1"/>
  <c r="G37" i="1" l="1"/>
  <c r="G36" i="1"/>
  <c r="G128" i="1" l="1"/>
  <c r="G127" i="1"/>
  <c r="G130" i="1"/>
  <c r="G129" i="1"/>
  <c r="G107" i="1"/>
  <c r="G98" i="1"/>
  <c r="G96" i="1"/>
  <c r="G95" i="1"/>
  <c r="G110" i="1"/>
  <c r="G82" i="1" l="1"/>
  <c r="G81" i="1"/>
  <c r="G97" i="1"/>
  <c r="G113" i="1"/>
  <c r="G115" i="1"/>
  <c r="G114" i="1"/>
  <c r="G109" i="1"/>
  <c r="G111" i="1" l="1"/>
  <c r="G144" i="1" l="1"/>
  <c r="G143" i="1"/>
  <c r="G142" i="1"/>
  <c r="G140" i="1"/>
  <c r="G141" i="1"/>
  <c r="G138" i="1"/>
  <c r="G137" i="1"/>
  <c r="G136" i="1"/>
  <c r="G145" i="1" l="1"/>
  <c r="G35" i="1"/>
  <c r="G64" i="1" l="1"/>
  <c r="G63" i="1"/>
  <c r="G62" i="1"/>
  <c r="G61" i="1"/>
  <c r="G60" i="1"/>
  <c r="G59" i="1"/>
  <c r="G58" i="1"/>
  <c r="G57" i="1"/>
  <c r="G86" i="1" l="1"/>
  <c r="G50" i="1" l="1"/>
  <c r="G89" i="1" l="1"/>
  <c r="G83" i="1"/>
  <c r="G91" i="1" l="1"/>
  <c r="G90" i="1"/>
  <c r="G94" i="1"/>
  <c r="G78" i="1" l="1"/>
  <c r="G77" i="1"/>
  <c r="G76" i="1"/>
  <c r="G75" i="1"/>
  <c r="G74" i="1"/>
  <c r="G73" i="1"/>
  <c r="G71" i="1"/>
  <c r="G42" i="1"/>
  <c r="G40" i="1"/>
  <c r="G53" i="1"/>
  <c r="G52" i="1"/>
  <c r="G46" i="1"/>
  <c r="G47" i="1"/>
  <c r="G48" i="1"/>
  <c r="G49" i="1"/>
  <c r="G51" i="1"/>
  <c r="G34" i="1" l="1"/>
  <c r="G33" i="1"/>
  <c r="G32" i="1"/>
  <c r="G31" i="1"/>
  <c r="I36" i="1" l="1"/>
  <c r="I37" i="1"/>
  <c r="I127" i="1"/>
  <c r="I128" i="1"/>
  <c r="I130" i="1"/>
  <c r="I129" i="1"/>
  <c r="I96" i="1"/>
  <c r="I98" i="1"/>
  <c r="I95" i="1"/>
  <c r="I110" i="1"/>
  <c r="I111" i="1"/>
  <c r="I82" i="1"/>
  <c r="I81" i="1"/>
  <c r="I97" i="1"/>
  <c r="I113" i="1"/>
  <c r="I115" i="1"/>
  <c r="I114" i="1"/>
  <c r="I109" i="1"/>
  <c r="I107" i="1"/>
  <c r="G41" i="1"/>
  <c r="I35" i="1"/>
  <c r="I57" i="1"/>
  <c r="I60" i="1"/>
  <c r="I58" i="1"/>
  <c r="I62" i="1"/>
  <c r="I59" i="1"/>
  <c r="I63" i="1"/>
  <c r="I61" i="1"/>
  <c r="I64" i="1"/>
  <c r="I89" i="1"/>
  <c r="I83" i="1"/>
  <c r="I91" i="1"/>
  <c r="I78" i="1"/>
  <c r="I77" i="1"/>
  <c r="I76" i="1"/>
  <c r="I75" i="1"/>
  <c r="I74" i="1"/>
  <c r="I73" i="1"/>
  <c r="I71" i="1"/>
  <c r="I42" i="1"/>
  <c r="I40" i="1"/>
  <c r="I90" i="1"/>
  <c r="I53" i="1"/>
  <c r="I52" i="1"/>
  <c r="I51" i="1"/>
  <c r="I49" i="1"/>
  <c r="I46" i="1"/>
  <c r="I47" i="1"/>
  <c r="I48" i="1"/>
  <c r="I50" i="1"/>
  <c r="I34" i="1"/>
  <c r="G124" i="1"/>
  <c r="G121" i="1"/>
  <c r="G72" i="1"/>
  <c r="G70" i="1"/>
  <c r="G43" i="1"/>
  <c r="G11" i="1" l="1"/>
  <c r="G9" i="1"/>
  <c r="G135" i="1" l="1"/>
  <c r="G27" i="1" l="1"/>
  <c r="G17" i="1" s="1"/>
  <c r="G26" i="1"/>
  <c r="G18" i="1" s="1"/>
  <c r="G106" i="1" l="1"/>
  <c r="G105" i="1"/>
  <c r="I105" i="1" l="1"/>
  <c r="G38" i="1"/>
  <c r="G101" i="1"/>
  <c r="G123" i="1"/>
  <c r="G122" i="1"/>
  <c r="G120" i="1"/>
  <c r="G119" i="1"/>
  <c r="G131" i="1" s="1"/>
  <c r="G102" i="1"/>
  <c r="G103" i="1"/>
  <c r="G108" i="1"/>
  <c r="G100" i="1"/>
  <c r="G68" i="1"/>
  <c r="G69" i="1"/>
  <c r="G10" i="1"/>
  <c r="G6" i="1"/>
  <c r="G25" i="1"/>
  <c r="G19" i="1" s="1"/>
  <c r="G14" i="1" l="1"/>
  <c r="H36" i="1"/>
  <c r="H37" i="1"/>
  <c r="G104" i="1"/>
  <c r="H104" i="1" s="1"/>
  <c r="H128" i="1"/>
  <c r="H130" i="1"/>
  <c r="H129" i="1"/>
  <c r="H127" i="1"/>
  <c r="G99" i="1"/>
  <c r="H99" i="1" s="1"/>
  <c r="I100" i="1"/>
  <c r="H102" i="1"/>
  <c r="I102" i="1"/>
  <c r="G112" i="1"/>
  <c r="H112" i="1" s="1"/>
  <c r="I103" i="1"/>
  <c r="H103" i="1"/>
  <c r="I101" i="1"/>
  <c r="H101" i="1"/>
  <c r="G116" i="1"/>
  <c r="H116" i="1" s="1"/>
  <c r="G132" i="1"/>
  <c r="H98" i="1"/>
  <c r="H96" i="1"/>
  <c r="H95" i="1"/>
  <c r="H110" i="1"/>
  <c r="H111" i="1"/>
  <c r="G84" i="1"/>
  <c r="G85" i="1"/>
  <c r="H113" i="1"/>
  <c r="H115" i="1"/>
  <c r="H114" i="1"/>
  <c r="H109" i="1"/>
  <c r="H82" i="1"/>
  <c r="H81" i="1"/>
  <c r="H97" i="1"/>
  <c r="H107" i="1"/>
  <c r="H137" i="1"/>
  <c r="H142" i="1"/>
  <c r="H144" i="1"/>
  <c r="H141" i="1"/>
  <c r="H138" i="1"/>
  <c r="H136" i="1"/>
  <c r="H143" i="1"/>
  <c r="H140" i="1"/>
  <c r="H135" i="1"/>
  <c r="G139" i="1"/>
  <c r="H50" i="1"/>
  <c r="G65" i="1"/>
  <c r="H35" i="1"/>
  <c r="H59" i="1"/>
  <c r="H63" i="1"/>
  <c r="H58" i="1"/>
  <c r="H60" i="1"/>
  <c r="H62" i="1"/>
  <c r="H64" i="1"/>
  <c r="H57" i="1"/>
  <c r="H61" i="1"/>
  <c r="G39" i="1"/>
  <c r="I39" i="1" s="1"/>
  <c r="G54" i="1"/>
  <c r="G8" i="1"/>
  <c r="H8" i="1" s="1"/>
  <c r="H83" i="1"/>
  <c r="H89" i="1"/>
  <c r="H91" i="1"/>
  <c r="H34" i="1"/>
  <c r="H47" i="1"/>
  <c r="H49" i="1"/>
  <c r="H78" i="1"/>
  <c r="H77" i="1"/>
  <c r="H76" i="1"/>
  <c r="H75" i="1"/>
  <c r="H74" i="1"/>
  <c r="H73" i="1"/>
  <c r="H71" i="1"/>
  <c r="H42" i="1"/>
  <c r="H40" i="1"/>
  <c r="H90" i="1"/>
  <c r="H53" i="1"/>
  <c r="H52" i="1"/>
  <c r="H51" i="1"/>
  <c r="H46" i="1"/>
  <c r="H48" i="1"/>
  <c r="G15" i="1"/>
  <c r="G16" i="1"/>
  <c r="H41" i="1"/>
  <c r="I41" i="1"/>
  <c r="H124" i="1"/>
  <c r="H121" i="1"/>
  <c r="H72" i="1"/>
  <c r="H70" i="1"/>
  <c r="G126" i="1"/>
  <c r="G125" i="1"/>
  <c r="I121" i="1"/>
  <c r="I72" i="1"/>
  <c r="I70" i="1"/>
  <c r="I124" i="1"/>
  <c r="H43" i="1"/>
  <c r="I43" i="1"/>
  <c r="G5" i="1"/>
  <c r="H11" i="1"/>
  <c r="H9" i="1"/>
  <c r="I123" i="1"/>
  <c r="I69" i="1"/>
  <c r="H105" i="1"/>
  <c r="H106" i="1"/>
  <c r="I94" i="1"/>
  <c r="I106" i="1"/>
  <c r="H94" i="1"/>
  <c r="I32" i="1"/>
  <c r="I119" i="1"/>
  <c r="I33" i="1"/>
  <c r="I68" i="1"/>
  <c r="I108" i="1"/>
  <c r="I120" i="1"/>
  <c r="I122" i="1"/>
  <c r="I38" i="1"/>
  <c r="H31" i="1"/>
  <c r="H33" i="1"/>
  <c r="H32" i="1"/>
  <c r="H38" i="1"/>
  <c r="H68" i="1"/>
  <c r="H10" i="1"/>
  <c r="H108" i="1"/>
  <c r="H122" i="1"/>
  <c r="H6" i="1"/>
  <c r="H69" i="1"/>
  <c r="H100" i="1"/>
  <c r="H123" i="1"/>
  <c r="H119" i="1"/>
  <c r="H120" i="1"/>
  <c r="I104" i="1" l="1"/>
  <c r="J100" i="1"/>
  <c r="G13" i="1"/>
  <c r="J116" i="1"/>
  <c r="J101" i="1"/>
  <c r="J112" i="1"/>
  <c r="J104" i="1"/>
  <c r="J95" i="1"/>
  <c r="J110" i="1"/>
  <c r="J107" i="1"/>
  <c r="J128" i="1"/>
  <c r="J127" i="1"/>
  <c r="J98" i="1"/>
  <c r="J96" i="1"/>
  <c r="J130" i="1"/>
  <c r="J129" i="1"/>
  <c r="J97" i="1"/>
  <c r="J115" i="1"/>
  <c r="J114" i="1"/>
  <c r="J109" i="1"/>
  <c r="J113" i="1"/>
  <c r="J111" i="1"/>
  <c r="J94" i="1"/>
  <c r="J106" i="1"/>
  <c r="J105" i="1"/>
  <c r="I116" i="1"/>
  <c r="I112" i="1"/>
  <c r="J103" i="1"/>
  <c r="J108" i="1"/>
  <c r="J102" i="1"/>
  <c r="I99" i="1"/>
  <c r="J99" i="1"/>
  <c r="J82" i="1"/>
  <c r="J81" i="1"/>
  <c r="J139" i="1"/>
  <c r="H139" i="1"/>
  <c r="J136" i="1"/>
  <c r="J140" i="1"/>
  <c r="J142" i="1"/>
  <c r="J138" i="1"/>
  <c r="J141" i="1"/>
  <c r="J144" i="1"/>
  <c r="J143" i="1"/>
  <c r="J137" i="1"/>
  <c r="J135" i="1"/>
  <c r="I126" i="1"/>
  <c r="J60" i="1"/>
  <c r="J57" i="1"/>
  <c r="J58" i="1"/>
  <c r="J62" i="1"/>
  <c r="J59" i="1"/>
  <c r="J63" i="1"/>
  <c r="J64" i="1"/>
  <c r="J61" i="1"/>
  <c r="J65" i="1"/>
  <c r="H65" i="1"/>
  <c r="I65" i="1"/>
  <c r="H39" i="1"/>
  <c r="G12" i="1"/>
  <c r="J8" i="1"/>
  <c r="G7" i="1"/>
  <c r="H7" i="1" s="1"/>
  <c r="J83" i="1"/>
  <c r="J89" i="1"/>
  <c r="J91" i="1"/>
  <c r="J51" i="1"/>
  <c r="J47" i="1"/>
  <c r="J90" i="1"/>
  <c r="J73" i="1"/>
  <c r="J77" i="1"/>
  <c r="J46" i="1"/>
  <c r="J71" i="1"/>
  <c r="J76" i="1"/>
  <c r="J49" i="1"/>
  <c r="J53" i="1"/>
  <c r="J75" i="1"/>
  <c r="J48" i="1"/>
  <c r="J52" i="1"/>
  <c r="J74" i="1"/>
  <c r="J78" i="1"/>
  <c r="J50" i="1"/>
  <c r="I54" i="1"/>
  <c r="H54" i="1"/>
  <c r="J54" i="1"/>
  <c r="J27" i="1"/>
  <c r="J26" i="1"/>
  <c r="J24" i="1"/>
  <c r="J25" i="1"/>
  <c r="J72" i="1"/>
  <c r="J121" i="1"/>
  <c r="J70" i="1"/>
  <c r="J124" i="1"/>
  <c r="J125" i="1"/>
  <c r="H125" i="1"/>
  <c r="I125" i="1"/>
  <c r="G28" i="1"/>
  <c r="J9" i="1"/>
  <c r="G23" i="1"/>
  <c r="J23" i="1" s="1"/>
  <c r="J68" i="1"/>
  <c r="J122" i="1"/>
  <c r="J119" i="1"/>
  <c r="J123" i="1"/>
  <c r="J120" i="1"/>
  <c r="J69" i="1"/>
  <c r="J126" i="1"/>
  <c r="H126" i="1"/>
  <c r="J7" i="1" l="1"/>
</calcChain>
</file>

<file path=xl/connections.xml><?xml version="1.0" encoding="utf-8"?>
<connections xmlns="http://schemas.openxmlformats.org/spreadsheetml/2006/main">
  <connection id="1" name="file" type="6" refreshedVersion="5" background="1" saveData="1">
    <textPr prompt="0" codePage="437" firstRow="5" sourceFile="C:\Users\dgonzale\Hexagon_examples\pmu_spreadshet\file.dos" delimiter=":">
      <textFields count="3">
        <textField type="skip"/>
        <textField type="skip"/>
        <textField/>
      </textFields>
    </textPr>
  </connection>
  <connection id="2" name="mypmufile" type="6" refreshedVersion="5" background="1" saveData="1">
    <textPr prompt="0" codePage="437" firstRow="5" sourceFile="mypmufile.txt" delimiter=":">
      <textFields count="3">
        <textField type="skip"/>
        <textField type="skip"/>
        <textField/>
      </textFields>
    </textPr>
  </connection>
  <connection id="3" name="mypmufile1" type="6" refreshedVersion="5" background="1" saveData="1">
    <textPr prompt="0" codePage="437" firstRow="5" sourceFile="mypmufile.txt" delimiter=":">
      <textFields count="3">
        <textField type="skip"/>
        <textField type="skip"/>
        <textField/>
      </textFields>
    </textPr>
  </connection>
  <connection id="4" name="mypmufile11" type="6" refreshedVersion="5" background="1" saveData="1">
    <textPr prompt="0" codePage="437" sourceFile="mypmufile.txt" delimiter=":">
      <textFields count="3">
        <textField type="skip"/>
        <textField type="skip"/>
        <textField/>
      </textFields>
    </textPr>
  </connection>
  <connection id="5" name="mypmufile12" type="6" refreshedVersion="5" background="1" saveData="1">
    <textPr prompt="0" codePage="437" sourceFile="mypmufile.txt" delimiter=":">
      <textFields count="3">
        <textField type="skip"/>
        <textField type="skip"/>
        <textField/>
      </textFields>
    </textPr>
  </connection>
  <connection id="6" name="mypmufile14" type="6" refreshedVersion="5" background="1" saveData="1">
    <textPr prompt="0" codePage="437" sourceFile="mypmufile.txt" delimiter=":">
      <textFields count="3">
        <textField type="skip"/>
        <textField type="skip"/>
        <textField/>
      </textFields>
    </textPr>
  </connection>
  <connection id="7" name="mypmufile15" type="6" refreshedVersion="5" background="1" saveData="1">
    <textPr prompt="0" codePage="437" sourceFile="mypmufile.txt" delimiter=":">
      <textFields count="3">
        <textField type="skip"/>
        <textField type="skip"/>
        <textField/>
      </textFields>
    </textPr>
  </connection>
  <connection id="8" name="mypmufile16" type="6" refreshedVersion="5" background="1" saveData="1">
    <textPr prompt="0" codePage="437" sourceFile="mypmufile.txt" delimiter=":">
      <textFields count="3">
        <textField type="skip"/>
        <textField type="skip"/>
        <textField/>
      </textFields>
    </textPr>
  </connection>
  <connection id="9" name="mypmufile17" type="6" refreshedVersion="5" background="1" saveData="1">
    <textPr prompt="0" codePage="437" sourceFile="mypmufile.txt" delimiter=":">
      <textFields count="3">
        <textField type="skip"/>
        <textField type="skip"/>
        <textField/>
      </textFields>
    </textPr>
  </connection>
  <connection id="10" name="mypmufile18" type="6" refreshedVersion="5" background="1" saveData="1">
    <textPr prompt="0" codePage="437" sourceFile="mypmufile.txt" delimiter=":">
      <textFields count="3">
        <textField type="skip"/>
        <textField type="skip"/>
        <textField/>
      </textFields>
    </textPr>
  </connection>
  <connection id="11" name="mypmufile19" type="6" refreshedVersion="5" background="1" saveData="1">
    <textPr prompt="0" codePage="437" sourceFile="mypmufile.txt" delimiter=":">
      <textFields count="3">
        <textField type="skip"/>
        <textField type="skip"/>
        <textField/>
      </textFields>
    </textPr>
  </connection>
  <connection id="12" name="mypmufile2" type="6" refreshedVersion="5" background="1" saveData="1">
    <textPr prompt="0" codePage="437" firstRow="10" sourceFile="mypmufile.txt" delimiter=":">
      <textFields count="3">
        <textField type="skip"/>
        <textField type="skip"/>
        <textField/>
      </textFields>
    </textPr>
  </connection>
  <connection id="13" name="mypmufile21" type="6" refreshedVersion="5" background="1" saveData="1">
    <textPr prompt="0" codePage="437" sourceFile="mypmufile.txt" delimiter=":">
      <textFields count="3">
        <textField type="skip"/>
        <textField type="skip"/>
        <textField/>
      </textFields>
    </textPr>
  </connection>
  <connection id="14" name="mypmufile23" type="6" refreshedVersion="5" background="1" saveData="1">
    <textPr prompt="0" codePage="437" sourceFile="mypmufile.txt" delimiter=":">
      <textFields count="3">
        <textField type="skip"/>
        <textField type="skip"/>
        <textField/>
      </textFields>
    </textPr>
  </connection>
  <connection id="15" name="mypmufile24" type="6" refreshedVersion="5" background="1" saveData="1">
    <textPr prompt="0" codePage="437" sourceFile="mypmufile.txt" delimiter=":">
      <textFields count="3">
        <textField type="skip"/>
        <textField type="skip"/>
        <textField/>
      </textFields>
    </textPr>
  </connection>
  <connection id="16" name="mypmufile25" type="6" refreshedVersion="5" background="1" saveData="1">
    <textPr prompt="0" codePage="437" sourceFile="mypmufile.txt" delimiter=":">
      <textFields count="3">
        <textField type="skip"/>
        <textField type="skip"/>
        <textField/>
      </textFields>
    </textPr>
  </connection>
  <connection id="17" name="mypmufile26" type="6" refreshedVersion="5" background="1" saveData="1">
    <textPr prompt="0" codePage="437" sourceFile="mypmufile.txt" delimiter=":">
      <textFields count="3">
        <textField type="skip"/>
        <textField type="skip"/>
        <textField/>
      </textFields>
    </textPr>
  </connection>
  <connection id="18" name="mypmufile29" type="6" refreshedVersion="5" background="1" saveData="1">
    <textPr prompt="0" codePage="437" sourceFile="mypmufile.txt" delimiter=":">
      <textFields count="3">
        <textField type="skip"/>
        <textField type="skip"/>
        <textField/>
      </textFields>
    </textPr>
  </connection>
  <connection id="19" name="mypmufile3" type="6" refreshedVersion="5" background="1" saveData="1">
    <textPr prompt="0" codePage="437" sourceFile="mypmufile.txt" delimiter=":">
      <textFields count="3">
        <textField type="skip"/>
        <textField type="skip"/>
        <textField/>
      </textFields>
    </textPr>
  </connection>
  <connection id="20" name="mypmufile31" type="6" refreshedVersion="5" background="1" saveData="1">
    <textPr prompt="0" codePage="437" sourceFile="mypmufile.txt" delimiter=":">
      <textFields count="3">
        <textField type="skip"/>
        <textField type="skip"/>
        <textField/>
      </textFields>
    </textPr>
  </connection>
  <connection id="21" name="mypmufile32" type="6" refreshedVersion="5" background="1" saveData="1">
    <textPr prompt="0" codePage="437" sourceFile="mypmufile.txt" delimiter=":">
      <textFields count="3">
        <textField type="skip"/>
        <textField type="skip"/>
        <textField/>
      </textFields>
    </textPr>
  </connection>
  <connection id="22" name="mypmufile33" type="6" refreshedVersion="5" background="1" saveData="1">
    <textPr prompt="0" codePage="437" sourceFile="mypmufile.txt" delimiter=":">
      <textFields count="3">
        <textField type="skip"/>
        <textField type="skip"/>
        <textField/>
      </textFields>
    </textPr>
  </connection>
  <connection id="23" name="mypmufile34" type="6" refreshedVersion="5" background="1" saveData="1">
    <textPr prompt="0" codePage="437" sourceFile="mypmufile.txt" delimiter=":">
      <textFields count="3">
        <textField type="skip"/>
        <textField type="skip"/>
        <textField/>
      </textFields>
    </textPr>
  </connection>
  <connection id="24" name="mypmufile4" type="6" refreshedVersion="5" background="1" saveData="1">
    <textPr prompt="0" codePage="437" sourceFile="mypmufile.txt" delimiter=":">
      <textFields count="3">
        <textField type="skip"/>
        <textField type="skip"/>
        <textField/>
      </textFields>
    </textPr>
  </connection>
  <connection id="25" name="mypmufile5" type="6" refreshedVersion="5" background="1" saveData="1">
    <textPr prompt="0" codePage="437" sourceFile="mypmufile.txt" delimiter=":">
      <textFields count="3">
        <textField type="skip"/>
        <textField type="skip"/>
        <textField/>
      </textFields>
    </textPr>
  </connection>
  <connection id="26" name="mypmufile6" type="6" refreshedVersion="5" background="1" saveData="1">
    <textPr prompt="0" codePage="437" sourceFile="mypmufile.txt" delimiter=":">
      <textFields count="3">
        <textField type="skip"/>
        <textField type="skip"/>
        <textField/>
      </textFields>
    </textPr>
  </connection>
  <connection id="27" name="mypmufile7" type="6" refreshedVersion="5" background="1" saveData="1">
    <textPr prompt="0" codePage="437" sourceFile="mypmufile.txt" delimiter=":">
      <textFields count="3">
        <textField type="skip"/>
        <textField type="skip"/>
        <textField/>
      </textFields>
    </textPr>
  </connection>
  <connection id="28" name="mypmufile8" type="6" refreshedVersion="5" background="1" saveData="1">
    <textPr prompt="0" codePage="437" sourceFile="mypmufile.txt" delimiter=":">
      <textFields count="3">
        <textField type="skip"/>
        <textField type="skip"/>
        <textField/>
      </textFields>
    </textPr>
  </connection>
  <connection id="29" name="mypmufile9" type="6" refreshedVersion="5" background="1" saveData="1">
    <textPr prompt="0" codePage="437" sourceFile="mypmufile.txt" delimiter=":">
      <textFields count="3">
        <textField type="skip"/>
        <textField type="skip"/>
        <textField/>
      </textFields>
    </textPr>
  </connection>
  <connection id="30" name="mystatsfile" type="6" refreshedVersion="5" background="1" saveData="1">
    <textPr prompt="0" codePage="437" sourceFile="mystatsfile.txt" delimiter=":">
      <textFields count="3">
        <textField type="skip"/>
        <textField type="skip"/>
        <textField/>
      </textFields>
    </textPr>
  </connection>
  <connection id="31" name="mystatsfile1" type="6" refreshedVersion="5" background="1" saveData="1">
    <textPr prompt="0" codePage="437" sourceFile="mystatsfile.txt" delimiter=":">
      <textFields count="3">
        <textField type="skip"/>
        <textField type="skip"/>
        <textField/>
      </textFields>
    </textPr>
  </connection>
  <connection id="32" name="mystatsfile10" type="6" refreshedVersion="5" background="1" saveData="1">
    <textPr prompt="0" codePage="437" sourceFile="mystatsfile.txt" delimiter=":">
      <textFields count="3">
        <textField type="skip"/>
        <textField type="skip"/>
        <textField/>
      </textFields>
    </textPr>
  </connection>
  <connection id="33" name="mystatsfile11" type="6" refreshedVersion="5" background="1" saveData="1">
    <textPr prompt="0" codePage="437" sourceFile="mystatsfile.txt" delimiter=":">
      <textFields count="3">
        <textField type="skip"/>
        <textField type="skip"/>
        <textField/>
      </textFields>
    </textPr>
  </connection>
  <connection id="34" name="mystatsfile2" type="6" refreshedVersion="5" background="1" saveData="1">
    <textPr prompt="0" codePage="437" sourceFile="mystatsfile.txt" delimiter=":">
      <textFields count="3">
        <textField type="skip"/>
        <textField type="skip"/>
        <textField/>
      </textFields>
    </textPr>
  </connection>
  <connection id="35" name="mystatsfile3" type="6" refreshedVersion="5" background="1" saveData="1">
    <textPr prompt="0" codePage="437" sourceFile="mystatsfile.txt" delimiter=":">
      <textFields count="3">
        <textField type="skip"/>
        <textField type="skip"/>
        <textField/>
      </textFields>
    </textPr>
  </connection>
  <connection id="36" name="mystatsfile7" type="6" refreshedVersion="5" background="1" saveData="1">
    <textPr prompt="0" codePage="437" sourceFile="mystatsfile.txt" delimiter=":">
      <textFields count="3">
        <textField type="skip"/>
        <textField type="skip"/>
        <textField/>
      </textFields>
    </textPr>
  </connection>
  <connection id="37" name="mystatsfile8" type="6" refreshedVersion="5" background="1" saveData="1">
    <textPr prompt="0" codePage="437" sourceFile="mystatsfile.txt" delimiter=":">
      <textFields count="3">
        <textField type="skip"/>
        <textField type="skip"/>
        <textField/>
      </textFields>
    </textPr>
  </connection>
  <connection id="38" name="mystatsfile9" type="6" refreshedVersion="5" background="1" saveData="1">
    <textPr prompt="0" codePage="437" sourceFile="mystatsfile.txt" delimiter=":">
      <textFields count="3">
        <textField type="skip"/>
        <textField type="skip"/>
        <textField/>
      </textFields>
    </textPr>
  </connection>
  <connection id="39" name="pmu.dec4-baseline.l2048.i256.d128" type="6" refreshedVersion="5" background="1" saveData="1">
    <textPr prompt="0" codePage="437" firstRow="10" sourceFile="C:\Users\dgonzale\Hexagon_examples\pmu_spreadshet\pmu.dec4-baseline.l2048.i256.d128.bp100_4M" delimiter=":">
      <textFields count="3">
        <textField type="skip"/>
        <textField type="skip"/>
        <textField/>
      </textFields>
    </textPr>
  </connection>
  <connection id="40" name="pmu.dec4-baseline.l2048.i256.d1281" type="6" refreshedVersion="5" background="1" saveData="1">
    <textPr prompt="0" codePage="437" firstRow="10" sourceFile="C:\Users\dgonzale\Hexagon_examples\pmu_spreadshet\pmu.dec4-baseline.l2048.i256.d128.bp100_4M" delimiter=":">
      <textFields count="3">
        <textField type="skip"/>
        <textField type="skip"/>
        <textField/>
      </textFields>
    </textPr>
  </connection>
  <connection id="41" name="pmu.dec4-baseline.l2048.i256.d12810" type="6" refreshedVersion="5" background="1" saveData="1">
    <textPr prompt="0" codePage="437" firstRow="10" sourceFile="C:\Users\dgonzale\Hexagon_examples\pmu_spreadshet\pmu.dec4-baseline.l2048.i256.d128.bp100_4M" delimiter=":">
      <textFields count="3">
        <textField type="skip"/>
        <textField type="skip"/>
        <textField/>
      </textFields>
    </textPr>
  </connection>
  <connection id="42" name="pmu.dec4-baseline.l2048.i256.d12811" type="6" refreshedVersion="5" background="1" saveData="1">
    <textPr prompt="0" codePage="437" firstRow="10" sourceFile="C:\Users\dgonzale\Hexagon_examples\pmu_spreadshet\pmu.dec4-baseline.l2048.i256.d128.bp100_4M" delimiter=":">
      <textFields count="3">
        <textField type="skip"/>
        <textField type="skip"/>
        <textField/>
      </textFields>
    </textPr>
  </connection>
  <connection id="43" name="pmu.dec4-baseline.l2048.i256.d12812" type="6" refreshedVersion="5" background="1" saveData="1">
    <textPr prompt="0" codePage="437" firstRow="10" sourceFile="C:\Users\dgonzale\Hexagon_examples\pmu_spreadshet\pmu.dec4-baseline.l2048.i256.d128.bp100_4M" delimiter=":">
      <textFields count="3">
        <textField type="skip"/>
        <textField type="skip"/>
        <textField/>
      </textFields>
    </textPr>
  </connection>
  <connection id="44" name="pmu.dec4-baseline.l2048.i256.d12813" type="6" refreshedVersion="5" background="1" saveData="1">
    <textPr prompt="0" codePage="437" sourceFile="C:\Users\dgonzale\Hexagon_examples\pmu_spreadshet\pmu.dec4-baseline.l2048.i256.d128.bp100_4M" delimiter=":">
      <textFields count="3">
        <textField type="skip"/>
        <textField type="skip"/>
        <textField/>
      </textFields>
    </textPr>
  </connection>
  <connection id="45" name="pmu.dec4-baseline.l2048.i256.d12814" type="6" refreshedVersion="5" background="1" saveData="1">
    <textPr prompt="0" codePage="437" sourceFile="C:\Users\dgonzale\Hexagon_examples\pmu_spreadshet\pmu.dec4-baseline.l2048.i256.d128.bp100_4M" delimiter=":">
      <textFields count="3">
        <textField type="skip"/>
        <textField type="skip"/>
        <textField/>
      </textFields>
    </textPr>
  </connection>
  <connection id="46" name="pmu.dec4-baseline.l2048.i256.d12815" type="6" refreshedVersion="5" background="1" saveData="1">
    <textPr prompt="0" codePage="437" firstRow="5" sourceFile="C:\Users\dgonzale\Hexagon_examples\pmu_spreadshet\pmu.dec4-baseline.l2048.i256.d128.bp100_4M" delimiter=":">
      <textFields count="3">
        <textField type="skip"/>
        <textField type="skip"/>
        <textField/>
      </textFields>
    </textPr>
  </connection>
  <connection id="47" name="pmu.dec4-baseline.l2048.i256.d12816" type="6" refreshedVersion="5" background="1" saveData="1">
    <textPr prompt="0" codePage="437" firstRow="5" sourceFile="C:\Users\dgonzale\Hexagon_examples\pmu_spreadshet\pmu.dec4-baseline.l2048.i256.d128.bp100_4M" delimiter=":">
      <textFields count="3">
        <textField type="skip"/>
        <textField type="skip"/>
        <textField/>
      </textFields>
    </textPr>
  </connection>
  <connection id="48" name="pmu.dec4-baseline.l2048.i256.d12817" type="6" refreshedVersion="5" background="1" saveData="1">
    <textPr prompt="0" codePage="437" firstRow="5" sourceFile="C:\Users\dgonzale\Hexagon_examples\pmu_spreadshet\pmu.dec4-baseline.l2048.i256.d128.bp100_4M" delimiter=":">
      <textFields count="3">
        <textField type="skip"/>
        <textField type="skip"/>
        <textField/>
      </textFields>
    </textPr>
  </connection>
  <connection id="49" name="pmu.dec4-baseline.l2048.i256.d12819" type="6" refreshedVersion="5" background="1" saveData="1">
    <textPr prompt="0" codePage="437" firstRow="5" sourceFile="C:\Users\dgonzale\Hexagon_examples\pmu_spreadshet\pmu.dec4-baseline.l2048.i256.d128.bp100_4M" delimiter=":">
      <textFields count="3">
        <textField type="skip"/>
        <textField type="skip"/>
        <textField/>
      </textFields>
    </textPr>
  </connection>
  <connection id="50" name="pmu.dec4-baseline.l2048.i256.d1282" type="6" refreshedVersion="5" background="1" saveData="1">
    <textPr prompt="0" codePage="437" firstRow="5" sourceFile="C:\Users\dgonzale\Hexagon_examples\pmu_spreadshet\pmu.dec4-baseline.l2048.i256.d128.bp100_4M" delimiter=":">
      <textFields count="3">
        <textField type="skip"/>
        <textField type="skip"/>
        <textField/>
      </textFields>
    </textPr>
  </connection>
  <connection id="51" name="pmu.dec4-baseline.l2048.i256.d12820" type="6" refreshedVersion="5" background="1" saveData="1">
    <textPr prompt="0" codePage="437" firstRow="5" sourceFile="C:\Users\dgonzale\Hexagon_examples\pmu_spreadshet\pmu.dec4-baseline.l2048.i256.d128.bp100_4M" delimiter=":">
      <textFields count="3">
        <textField type="skip"/>
        <textField type="skip"/>
        <textField/>
      </textFields>
    </textPr>
  </connection>
  <connection id="52" name="pmu.dec4-baseline.l2048.i256.d12821" type="6" refreshedVersion="5" background="1" saveData="1">
    <textPr prompt="0" codePage="437" firstRow="5" sourceFile="C:\Users\dgonzale\Hexagon_examples\pmu_spreadshet\pmu.dec4-baseline.l2048.i256.d128.bp100_4M" delimiter=":">
      <textFields count="3">
        <textField type="skip"/>
        <textField type="skip"/>
        <textField/>
      </textFields>
    </textPr>
  </connection>
  <connection id="53" name="pmu.dec4-baseline.l2048.i256.d1283" type="6" refreshedVersion="5" background="1" saveData="1">
    <textPr prompt="0" codePage="437" firstRow="5" sourceFile="C:\Users\dgonzale\Hexagon_examples\pmu_spreadshet\pmu.dec4-baseline.l2048.i256.d128.bp100_4M" delimiter=":">
      <textFields count="3">
        <textField type="skip"/>
        <textField type="skip"/>
        <textField/>
      </textFields>
    </textPr>
  </connection>
  <connection id="54" name="pmu.dec4-baseline.l2048.i256.d1284" type="6" refreshedVersion="5" background="1" saveData="1">
    <textPr prompt="0" codePage="437" firstRow="5" sourceFile="C:\Users\dgonzale\Hexagon_examples\pmu_spreadshet\pmu.dec4-baseline.l2048.i256.d128.bp100_4M" delimiter=":">
      <textFields count="3">
        <textField type="skip"/>
        <textField type="skip"/>
        <textField/>
      </textFields>
    </textPr>
  </connection>
  <connection id="55" name="pmu.dec4-baseline.l2048.i256.d1285" type="6" refreshedVersion="5" background="1" saveData="1">
    <textPr prompt="0" codePage="437" firstRow="5" sourceFile="C:\Users\dgonzale\Hexagon_examples\pmu_spreadshet\pmu.dec4-baseline.l2048.i256.d128.bp100_4M" delimiter=":">
      <textFields count="3">
        <textField type="skip"/>
        <textField type="skip"/>
        <textField/>
      </textFields>
    </textPr>
  </connection>
  <connection id="56" name="pmu.dec4-baseline.l2048.i256.d1286" type="6" refreshedVersion="5" background="1" saveData="1">
    <textPr prompt="0" codePage="437" firstRow="5" sourceFile="C:\Users\dgonzale\Hexagon_examples\pmu_spreadshet\pmu.dec4-baseline.l2048.i256.d128.bp100_4M" delimiter=":">
      <textFields count="3">
        <textField type="skip"/>
        <textField type="skip"/>
        <textField/>
      </textFields>
    </textPr>
  </connection>
  <connection id="57" name="pmu.dec4-baseline.l2048.i256.d1287" type="6" refreshedVersion="5" background="1" saveData="1">
    <textPr prompt="0" codePage="437" firstRow="5" sourceFile="C:\Users\dgonzale\Hexagon_examples\pmu_spreadshet\pmu.dec4-baseline.l2048.i256.d128.bp100_4M" delimiter=":">
      <textFields count="3">
        <textField type="skip"/>
        <textField type="skip"/>
        <textField/>
      </textFields>
    </textPr>
  </connection>
  <connection id="58" name="pmu.dec4-baseline.l2048.i256.d1288" type="6" refreshedVersion="5" background="1" saveData="1">
    <textPr prompt="0" codePage="437" firstRow="5" sourceFile="C:\Users\dgonzale\Hexagon_examples\pmu_spreadshet\pmu.dec4-baseline.l2048.i256.d128.bp100_4M" delimiter=":">
      <textFields count="3">
        <textField type="skip"/>
        <textField type="skip"/>
        <textField/>
      </textFields>
    </textPr>
  </connection>
  <connection id="59" name="pmu.dec4-baseline.l2048.i256.d1289" type="6" refreshedVersion="5" background="1" saveData="1">
    <textPr prompt="0" codePage="437" firstRow="5" sourceFile="C:\Users\dgonzale\Hexagon_examples\pmu_spreadshet\pmu.dec4-baseline.l2048.i256.d128.bp100_4M" delimiter=":">
      <textFields count="3">
        <textField type="skip"/>
        <textField type="skip"/>
        <textField/>
      </textFields>
    </textPr>
  </connection>
  <connection id="60" name="pmu_statsfile" type="6" refreshedVersion="5" background="1" saveData="1">
    <textPr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61" name="pmu_statsfile1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62" name="pmu_statsfile10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63" name="pmu_statsfile11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64" name="pmu_statsfile12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65" name="pmu_statsfile13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66" name="pmu_statsfile14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67" name="pmu_statsfile15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68" name="pmu_statsfile16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69" name="pmu_statsfile17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70" name="pmu_statsfile18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71" name="pmu_statsfile19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72" name="pmu_statsfile2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73" name="pmu_statsfile20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74" name="pmu_statsfile21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75" name="pmu_statsfile22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76" name="pmu_statsfile23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77" name="pmu_statsfile24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78" name="pmu_statsfile25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79" name="pmu_statsfile26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80" name="pmu_statsfile27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81" name="pmu_statsfile28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82" name="pmu_statsfile29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83" name="pmu_statsfile3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84" name="pmu_statsfile30" type="6" refreshedVersion="5" background="1" saveData="1">
    <textPr prompt="0" codePage="437" firstRow="5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85" name="pmu_statsfile31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86" name="pmu_statsfile32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87" name="pmu_statsfile33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88" name="pmu_statsfile34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89" name="pmu_statsfile35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90" name="pmu_statsfile36" type="6" refreshedVersion="5" background="1" saveData="1">
    <textPr prompt="0" codePage="437" firstRow="5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91" name="pmu_statsfile37" type="6" refreshedVersion="5" background="1" saveData="1">
    <textPr prompt="0" codePage="437" firstRow="5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92" name="pmu_statsfile38" type="6" refreshedVersion="5" background="1" saveData="1">
    <textPr prompt="0" codePage="437" firstRow="5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93" name="pmu_statsfile39" type="6" refreshedVersion="5" background="1" saveData="1">
    <textPr prompt="0" codePage="437" firstRow="5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94" name="pmu_statsfile4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95" name="pmu_statsfile40" type="6" refreshedVersion="5" background="1" saveData="1">
    <textPr prompt="0" codePage="437" firstRow="5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96" name="pmu_statsfile41" type="6" refreshedVersion="5" background="1" saveData="1">
    <textPr prompt="0" codePage="437" firstRow="5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97" name="pmu_statsfile42" type="6" refreshedVersion="5" background="1" saveData="1">
    <textPr prompt="0" codePage="437" firstRow="5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98" name="pmu_statsfile43" type="6" refreshedVersion="5" background="1" saveData="1">
    <textPr prompt="0" codePage="437" firstRow="5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99" name="pmu_statsfile44" type="6" refreshedVersion="5" background="1" saveData="1">
    <textPr prompt="0" codePage="437" firstRow="5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100" name="pmu_statsfile45" type="6" refreshedVersion="5" background="1" saveData="1">
    <textPr prompt="0" codePage="437" firstRow="5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101" name="pmu_statsfile46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102" name="pmu_statsfile47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103" name="pmu_statsfile48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104" name="pmu_statsfile49" type="6" refreshedVersion="5" background="1" saveData="1">
    <textPr prompt="0" codePage="437" firstRow="10" sourceFile="C:\Users\dgonzale\Hexagon_examples\mandelbrot\pmu_statsfile.txt" delimiter=":">
      <textFields count="3">
        <textField type="skip"/>
        <textField type="skip"/>
        <textField/>
      </textFields>
    </textPr>
  </connection>
  <connection id="105" name="pmu_statsfile5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106" name="pmu_statsfile50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107" name="pmu_statsfile51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108" name="pmu_statsfile52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109" name="pmu_statsfile6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110" name="pmu_statsfile7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111" name="pmu_statsfile8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  <connection id="112" name="pmu_statsfile9" type="6" refreshedVersion="5" background="1" saveData="1">
    <textPr prompt="0" codePage="437" firstRow="10" sourceFile="C:\Users\dgonzale\Hexagon_examples\pmu_spreadshet\pmu_statsfile.txt" delimiter=":">
      <textFields count="3"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<sst xmlns="http://schemas.openxmlformats.org/spreadsheetml/2006/main" count="683" uniqueCount="585">
  <si>
    <t>Committed Packets</t>
  </si>
  <si>
    <t>Total Pcycles</t>
  </si>
  <si>
    <t>1T Running</t>
  </si>
  <si>
    <t>2T Running</t>
  </si>
  <si>
    <t>3T Running</t>
  </si>
  <si>
    <t>IU Replay</t>
  </si>
  <si>
    <t>Dcache Secondary Miss</t>
  </si>
  <si>
    <t>AXI Reads</t>
  </si>
  <si>
    <t>AXI Read Bytes</t>
  </si>
  <si>
    <t>AXI Writes</t>
  </si>
  <si>
    <t>AXI Write Bytes</t>
  </si>
  <si>
    <t>Per Packet</t>
  </si>
  <si>
    <t>Per Pcycle</t>
  </si>
  <si>
    <t>Committed Loads</t>
  </si>
  <si>
    <t>Committed Stores</t>
  </si>
  <si>
    <t>Comments</t>
  </si>
  <si>
    <t>Number of cycles one thread was in run state (not stop/wait)</t>
  </si>
  <si>
    <t>Number of cycles two threads was in run state (not stop/wait)</t>
  </si>
  <si>
    <t>Number of cycles three threads was in run state (not stop/wait)</t>
  </si>
  <si>
    <t>Total number of proccessor cycles to complete program</t>
  </si>
  <si>
    <t>Total Count</t>
  </si>
  <si>
    <t>0T Running</t>
  </si>
  <si>
    <t>Insns/Packet</t>
  </si>
  <si>
    <t>clk</t>
  </si>
  <si>
    <t>Thread Concurrency</t>
  </si>
  <si>
    <t>Committed Instructions</t>
  </si>
  <si>
    <t>Per Insn</t>
  </si>
  <si>
    <t>0x01</t>
  </si>
  <si>
    <t>0x02</t>
  </si>
  <si>
    <t>0x03</t>
  </si>
  <si>
    <t>0x04</t>
  </si>
  <si>
    <t>0x11</t>
  </si>
  <si>
    <t>0x12</t>
  </si>
  <si>
    <t>0x13</t>
  </si>
  <si>
    <t>0x18</t>
  </si>
  <si>
    <t>0x19</t>
  </si>
  <si>
    <t>0x20</t>
  </si>
  <si>
    <t>0x21</t>
  </si>
  <si>
    <t>0x25</t>
  </si>
  <si>
    <t>0x26</t>
  </si>
  <si>
    <t>0x27</t>
  </si>
  <si>
    <t>0x2a</t>
  </si>
  <si>
    <t>0x30</t>
  </si>
  <si>
    <t>0x31</t>
  </si>
  <si>
    <t>0x32</t>
  </si>
  <si>
    <t>0x37</t>
  </si>
  <si>
    <t>0x38</t>
  </si>
  <si>
    <t>0x39</t>
  </si>
  <si>
    <t>0x3b</t>
  </si>
  <si>
    <t>0x3c</t>
  </si>
  <si>
    <t>0x3d</t>
  </si>
  <si>
    <t>0x40</t>
  </si>
  <si>
    <t>0x41</t>
  </si>
  <si>
    <t>0x43</t>
  </si>
  <si>
    <t>0x44</t>
  </si>
  <si>
    <t>0x45</t>
  </si>
  <si>
    <t>0x47</t>
  </si>
  <si>
    <t>0x48</t>
  </si>
  <si>
    <t>0x50</t>
  </si>
  <si>
    <t>0x51</t>
  </si>
  <si>
    <t>0x52</t>
  </si>
  <si>
    <t>0x5c</t>
  </si>
  <si>
    <t>0x66</t>
  </si>
  <si>
    <t>0x70</t>
  </si>
  <si>
    <t>0x71</t>
  </si>
  <si>
    <t>0x72</t>
  </si>
  <si>
    <t>0x76</t>
  </si>
  <si>
    <t>0x77</t>
  </si>
  <si>
    <t>0x78</t>
  </si>
  <si>
    <t>0x79</t>
  </si>
  <si>
    <t>0x7c</t>
  </si>
  <si>
    <t>0x7d</t>
  </si>
  <si>
    <t>0x7e</t>
  </si>
  <si>
    <t>0x7f</t>
  </si>
  <si>
    <t>0x80</t>
  </si>
  <si>
    <t>0x81</t>
  </si>
  <si>
    <t>0x82</t>
  </si>
  <si>
    <t>0x83</t>
  </si>
  <si>
    <t>0x84</t>
  </si>
  <si>
    <t>0x85</t>
  </si>
  <si>
    <t>0x87</t>
  </si>
  <si>
    <t>0x88</t>
  </si>
  <si>
    <t>0x89</t>
  </si>
  <si>
    <t>0x8d</t>
  </si>
  <si>
    <t>0x8e</t>
  </si>
  <si>
    <t>0x90</t>
  </si>
  <si>
    <t>0x91</t>
  </si>
  <si>
    <t>0x92</t>
  </si>
  <si>
    <t>0x93</t>
  </si>
  <si>
    <t>0xbf</t>
  </si>
  <si>
    <t>0xc3</t>
  </si>
  <si>
    <t>0xc4</t>
  </si>
  <si>
    <t>0xc5</t>
  </si>
  <si>
    <t>Overall concurrency of threads</t>
  </si>
  <si>
    <t>Number of committed instructions</t>
  </si>
  <si>
    <t>Number of committed packets</t>
  </si>
  <si>
    <t>Number of packets that committed 2 cycles after the previous packet in the same thread</t>
  </si>
  <si>
    <t>Number of IU replay events (fetchcross, itlb miss, etc)</t>
  </si>
  <si>
    <t>Number of DU replay events (bank conflict, credit failure, state conflict, etc)</t>
  </si>
  <si>
    <t>Number of branches which mispredicted their direction (taken/nottaken)</t>
  </si>
  <si>
    <t>Number of total reads from the AXI bus</t>
  </si>
  <si>
    <t>Number of total writes to the AXI bus</t>
  </si>
  <si>
    <t>Number of dcfetch instructions committed</t>
  </si>
  <si>
    <t>Number of dcfetch instructions which hit the dcache</t>
  </si>
  <si>
    <t>Number of dcfetch instructions which missed and filled the dcache</t>
  </si>
  <si>
    <t>Number of prefetches (dcfetch and hardware) which reached L2</t>
  </si>
  <si>
    <t>Number of cycles no threads were in run state (not stop/wait)</t>
  </si>
  <si>
    <t>Metric</t>
  </si>
  <si>
    <t>Input PMU hex</t>
  </si>
  <si>
    <t>Input PMU name (opt)</t>
  </si>
  <si>
    <t>Input PMU value</t>
  </si>
  <si>
    <t>Number of total bytes read from the AXI bus (assumes 1beat transactions are 8B)</t>
  </si>
  <si>
    <t>Number of total bytes written to the AXI bus (assumes 1beat transactions are 8B)</t>
  </si>
  <si>
    <t>TCM IU Access</t>
  </si>
  <si>
    <t>TCM DU Access</t>
  </si>
  <si>
    <t>Number of accesses to the TCM from the IU</t>
  </si>
  <si>
    <t>Number of accesses to the TCM from the DU</t>
  </si>
  <si>
    <t>Uncacheable Load</t>
  </si>
  <si>
    <t>Version Log</t>
  </si>
  <si>
    <t>Initial version</t>
  </si>
  <si>
    <t>0x58</t>
  </si>
  <si>
    <t>4T Running</t>
  </si>
  <si>
    <t>0x3e</t>
  </si>
  <si>
    <t>Number of cycles four threads was in run state (not stop/wait)</t>
  </si>
  <si>
    <t>(link to PMU descriptions)</t>
  </si>
  <si>
    <t>0xf0</t>
  </si>
  <si>
    <t>0xf1</t>
  </si>
  <si>
    <t>0xfc</t>
  </si>
  <si>
    <t>Coprocessor</t>
  </si>
  <si>
    <t>Packets executed on Coproc</t>
  </si>
  <si>
    <t>0xf5</t>
  </si>
  <si>
    <t>Number of packets with at least one instruction executed in the coprocessor</t>
  </si>
  <si>
    <t>Hexagon V60 Performance Calculator</t>
  </si>
  <si>
    <t>0x05</t>
  </si>
  <si>
    <t>0x06</t>
  </si>
  <si>
    <t>0x07</t>
  </si>
  <si>
    <t>0x08</t>
  </si>
  <si>
    <t>0x2f</t>
  </si>
  <si>
    <t>0x4d</t>
  </si>
  <si>
    <t>0x5a</t>
  </si>
  <si>
    <t>0x5d</t>
  </si>
  <si>
    <t>0x68</t>
  </si>
  <si>
    <t>0x6a</t>
  </si>
  <si>
    <t>0x6b</t>
  </si>
  <si>
    <t>0x6c</t>
  </si>
  <si>
    <t>0x6d</t>
  </si>
  <si>
    <t>0x6e</t>
  </si>
  <si>
    <t>0x6f</t>
  </si>
  <si>
    <t>0x8a</t>
  </si>
  <si>
    <t>0x8b</t>
  </si>
  <si>
    <t>0x8c</t>
  </si>
  <si>
    <t>0x8f</t>
  </si>
  <si>
    <t>0xa0</t>
  </si>
  <si>
    <t>0xa1</t>
  </si>
  <si>
    <t>0xa3</t>
  </si>
  <si>
    <t>0xa4</t>
  </si>
  <si>
    <t>0xa8</t>
  </si>
  <si>
    <t>0xac</t>
  </si>
  <si>
    <t>0xad</t>
  </si>
  <si>
    <t>0xaf</t>
  </si>
  <si>
    <t>0xb3</t>
  </si>
  <si>
    <t>0xb6</t>
  </si>
  <si>
    <t>0xb7</t>
  </si>
  <si>
    <t>0xb9</t>
  </si>
  <si>
    <t>0xba</t>
  </si>
  <si>
    <t>0xbd</t>
  </si>
  <si>
    <t>0xc8</t>
  </si>
  <si>
    <t>0xc9</t>
  </si>
  <si>
    <t>0xca</t>
  </si>
  <si>
    <t>0xcc</t>
  </si>
  <si>
    <t>0xce</t>
  </si>
  <si>
    <t>0xcf</t>
  </si>
  <si>
    <t>0xd0</t>
  </si>
  <si>
    <t>0xd1</t>
  </si>
  <si>
    <t>0xd2</t>
  </si>
  <si>
    <t>0xd3</t>
  </si>
  <si>
    <t>0xd4</t>
  </si>
  <si>
    <t>0xd5</t>
  </si>
  <si>
    <t>0xdc</t>
  </si>
  <si>
    <t>0xdd</t>
  </si>
  <si>
    <t>0xdf</t>
  </si>
  <si>
    <t>0xe6</t>
  </si>
  <si>
    <t>0xe7</t>
  </si>
  <si>
    <t>0xe8</t>
  </si>
  <si>
    <t>0xf2</t>
  </si>
  <si>
    <t>0xf3</t>
  </si>
  <si>
    <t>0xf4</t>
  </si>
  <si>
    <t>0xf6</t>
  </si>
  <si>
    <t>0xf8</t>
  </si>
  <si>
    <t>0xf9</t>
  </si>
  <si>
    <t>0xfa</t>
  </si>
  <si>
    <t>0xfb</t>
  </si>
  <si>
    <t>B2B Committed Packets</t>
  </si>
  <si>
    <t>Number of packets that committed 1 cycles after the previous packet in the same thread</t>
  </si>
  <si>
    <t>Number of times in which 2 packets were committed concurrently</t>
  </si>
  <si>
    <t>Number of DU bank conflicts</t>
  </si>
  <si>
    <t>DU bank conflict</t>
  </si>
  <si>
    <t>Number of 32B cacheline reads from the AXI bus</t>
  </si>
  <si>
    <t>Number of 64B cacheline reads from the AXI bus</t>
  </si>
  <si>
    <t>AXI 32B Reads</t>
  </si>
  <si>
    <t>AXI 64B Reads</t>
  </si>
  <si>
    <t>AXI 32B Writes</t>
  </si>
  <si>
    <t>Number of 32B cacheline writes to the AXI bus</t>
  </si>
  <si>
    <t>Number of 64B cacheline writes to the AXI bus</t>
  </si>
  <si>
    <t>AXI 64B Writes</t>
  </si>
  <si>
    <t>0x1a</t>
  </si>
  <si>
    <t>0x1b</t>
  </si>
  <si>
    <t>0x1c</t>
  </si>
  <si>
    <t>0x1d</t>
  </si>
  <si>
    <t>0x1e</t>
  </si>
  <si>
    <t>0x1f</t>
  </si>
  <si>
    <t>0x42</t>
  </si>
  <si>
    <t>0x49</t>
  </si>
  <si>
    <t>0x4a</t>
  </si>
  <si>
    <t>0x4b</t>
  </si>
  <si>
    <t>0x4c</t>
  </si>
  <si>
    <t>0x5b</t>
  </si>
  <si>
    <t>0x73</t>
  </si>
  <si>
    <t>0x97</t>
  </si>
  <si>
    <t>0xe9</t>
  </si>
  <si>
    <t>0xea</t>
  </si>
  <si>
    <t>0xeb</t>
  </si>
  <si>
    <t>0xec</t>
  </si>
  <si>
    <t>0xed</t>
  </si>
  <si>
    <t>0xfd</t>
  </si>
  <si>
    <t>0xfe</t>
  </si>
  <si>
    <t>0xff</t>
  </si>
  <si>
    <t>Committed Memops</t>
  </si>
  <si>
    <t>Number of load instructions, excluding memop</t>
  </si>
  <si>
    <t>Number of store instructions, excluding memop</t>
  </si>
  <si>
    <t>Number of memop instructions</t>
  </si>
  <si>
    <t>Number of taken branches (all types)</t>
  </si>
  <si>
    <t>BSB Committed Packets</t>
  </si>
  <si>
    <t>Processor Cycles / Number of Packets</t>
  </si>
  <si>
    <t>Cycles Per Packet assuming all packets need 3 pcycles and single packet commit</t>
  </si>
  <si>
    <t>Cycles Per Packet assuming all packets need 2 pcycles and single packet commit</t>
  </si>
  <si>
    <t>CPP (v55 DMT metric)</t>
  </si>
  <si>
    <t>CPP (v4 IMT metric)</t>
  </si>
  <si>
    <t>Packet &amp; Cycle Metrics</t>
  </si>
  <si>
    <t>Cycles Per Packet while 4 threads are running</t>
  </si>
  <si>
    <t>CPP_4T_running</t>
  </si>
  <si>
    <t>CPP_3T_running</t>
  </si>
  <si>
    <t>CPP_2T_running</t>
  </si>
  <si>
    <t>CPP_1T_running</t>
  </si>
  <si>
    <t>Cycles Per Packet while 3 threads are running</t>
  </si>
  <si>
    <t>Cycles Per Packet while 2 threads are running</t>
  </si>
  <si>
    <t>Instruction Metrics</t>
  </si>
  <si>
    <t>Replays</t>
  </si>
  <si>
    <t>Branch Predictor</t>
  </si>
  <si>
    <t>TLB</t>
  </si>
  <si>
    <t>Committed Cond Branches</t>
  </si>
  <si>
    <t>Committed Endloops</t>
  </si>
  <si>
    <t>Number of conditional branch instructionsbranch instrs</t>
  </si>
  <si>
    <t>Number of hardware loopends</t>
  </si>
  <si>
    <t>DU-L2 fifo full</t>
  </si>
  <si>
    <t>DU fill replay</t>
  </si>
  <si>
    <t>DU Store buffer full</t>
  </si>
  <si>
    <t>DU store buffer hit</t>
  </si>
  <si>
    <t>DU store buffer force</t>
  </si>
  <si>
    <t>DU page cross</t>
  </si>
  <si>
    <t>SMT bank conflit</t>
  </si>
  <si>
    <t>SMT port conflict</t>
  </si>
  <si>
    <t>dTLB miss</t>
  </si>
  <si>
    <t>iTLB miss</t>
  </si>
  <si>
    <t>JTLB miss</t>
  </si>
  <si>
    <t>DU replay (any)</t>
  </si>
  <si>
    <t>Number of L2 fifo full replays</t>
  </si>
  <si>
    <t>Number of store buffer full replays</t>
  </si>
  <si>
    <t>Number of DU fill replays</t>
  </si>
  <si>
    <t>Number of store buffer hit replays</t>
  </si>
  <si>
    <t>Number of store buffer force replays</t>
  </si>
  <si>
    <t>Number of page cross replays</t>
  </si>
  <si>
    <t>Number of SMT DU port conflict replays</t>
  </si>
  <si>
    <t>Number of SMT DU bank conflict replays</t>
  </si>
  <si>
    <t>Return Stack Miss</t>
  </si>
  <si>
    <t>Branch Direction Miss</t>
  </si>
  <si>
    <t>Indirect Jumps (not predicted)</t>
  </si>
  <si>
    <t>Number of data uTLB misses</t>
  </si>
  <si>
    <t>Number of instruction uTLB misses</t>
  </si>
  <si>
    <t>Number of joint TLB misses</t>
  </si>
  <si>
    <t>Committed Branches (all kinds)</t>
  </si>
  <si>
    <t>Committed Uncond Branches</t>
  </si>
  <si>
    <t>Number of change-of-flow instructions including all types</t>
  </si>
  <si>
    <t>Number of unconditional jumps/calls</t>
  </si>
  <si>
    <t>Committed Taken Branches</t>
  </si>
  <si>
    <t>Number of Indirect Jumps (these are not predicted)</t>
  </si>
  <si>
    <t>2 Packets Committed (SMT)</t>
  </si>
  <si>
    <t xml:space="preserve">1 Packet Committed </t>
  </si>
  <si>
    <t>Times a cluster committed a packet</t>
  </si>
  <si>
    <t>Times a cluster could not dispatch due to kernel lock or TLB lock.</t>
  </si>
  <si>
    <t>Times a cluster could not dispatch due to Instr Queue being empty</t>
  </si>
  <si>
    <t>Times a cluster had no useful work due to a branch mispredict (includes I$ miss time to fetch target)</t>
  </si>
  <si>
    <t>Times a cluster could not dispatch due to a data cache miss or uncached load</t>
  </si>
  <si>
    <t>Times a cluster had no useful work due to a DU stall (dTLB miss, bank conflict, store buffer, etc)</t>
  </si>
  <si>
    <t>Times a cluster could not dispatch due to a register interlock or register port conflict</t>
  </si>
  <si>
    <t>Times a cluster could no dispatch due to intercluster data cache resource conflict</t>
  </si>
  <si>
    <t>Times a cluster could no dispatch due to intercluster execution unit resource conflict</t>
  </si>
  <si>
    <t>Cluster stall Arch Lock Stall</t>
  </si>
  <si>
    <t>Cluster stall No Pkt Avail</t>
  </si>
  <si>
    <t>Cluster stall Re-steer</t>
  </si>
  <si>
    <t>Cluster stall Data Stall</t>
  </si>
  <si>
    <t>Cluster stall DU Busy</t>
  </si>
  <si>
    <t>Cluster stall Reg Interlock</t>
  </si>
  <si>
    <t>Cluster stall SMT DU conflict</t>
  </si>
  <si>
    <t>Cluster stall SMT XU conflict</t>
  </si>
  <si>
    <t>Packet Committed</t>
  </si>
  <si>
    <t>No Packets committed</t>
  </si>
  <si>
    <t>Number of branches which mispredicted their target address</t>
  </si>
  <si>
    <t>RAS Miss rate</t>
  </si>
  <si>
    <t>Number of return stack misses / Number of returns</t>
  </si>
  <si>
    <t>Number of branch direction mispredicts / ( Number of predicted branches + endloops)</t>
  </si>
  <si>
    <t>Thread stall Arch Lock Stall</t>
  </si>
  <si>
    <t>Thread stall No Pkt Avail</t>
  </si>
  <si>
    <t>Thread stall Re-steer</t>
  </si>
  <si>
    <t>Thread stall Data Stall</t>
  </si>
  <si>
    <t>Thread stall DU Busy</t>
  </si>
  <si>
    <t>Thread stall Reg Interlock</t>
  </si>
  <si>
    <t>Thread stall SMT DU conflict</t>
  </si>
  <si>
    <t>Thread stall SMT XU conflict</t>
  </si>
  <si>
    <t>Times a thread could not dispatch due to kernel lock or TLB lock.</t>
  </si>
  <si>
    <t>Times a thread could not dispatch due to Instr Queue being empty</t>
  </si>
  <si>
    <t>Times a thread had no useful work due to a branch mispredict (includes I$ miss time to fetch target)</t>
  </si>
  <si>
    <t>Times a thread could not dispatch due to a data cache miss or uncached load</t>
  </si>
  <si>
    <t>Times a thread had no useful work due to a DU stall (dTLB miss, bank conflict, store buffer, etc)</t>
  </si>
  <si>
    <t>Times a thread could not dispatch due to a register interlock or register port conflict</t>
  </si>
  <si>
    <t>Times a thread could no dispatch due to intercluster data cache resource conflict</t>
  </si>
  <si>
    <t>Times a thread could no dispatch due to intercluster execution unit resource conflict</t>
  </si>
  <si>
    <t>Times a thread committed a packet</t>
  </si>
  <si>
    <t>Prioritized Cluster Stalls</t>
  </si>
  <si>
    <t>Prioritized Thread Stalls</t>
  </si>
  <si>
    <t>Committed ComplexALU</t>
  </si>
  <si>
    <t>Number of non tc1 ALU instructions</t>
  </si>
  <si>
    <t>Coproc interlock stalls</t>
  </si>
  <si>
    <t>Number of coprocessor interlock stalls</t>
  </si>
  <si>
    <t>Coproc vmem load stalls</t>
  </si>
  <si>
    <t>Number of coprocessor cycles waiting on load data</t>
  </si>
  <si>
    <t>Number of coprocessor cycles waiting on load store completion</t>
  </si>
  <si>
    <t>Coproc vmem store stalls</t>
  </si>
  <si>
    <t>Number of packets which did not use the coprocessor</t>
  </si>
  <si>
    <t>Non coproc packets</t>
  </si>
  <si>
    <t>Number of vector loads which missed in L2</t>
  </si>
  <si>
    <t>Coproc loads</t>
  </si>
  <si>
    <t>Coproc load demand miss</t>
  </si>
  <si>
    <t>Coproc load seconday miss</t>
  </si>
  <si>
    <t>Number of vector loads</t>
  </si>
  <si>
    <t>Number of vector loads with secondary miss in L2</t>
  </si>
  <si>
    <t>Coproc stores</t>
  </si>
  <si>
    <t>Coproc store miss</t>
  </si>
  <si>
    <t>Number of vector stores</t>
  </si>
  <si>
    <t>Number of vector stores which miss in L2</t>
  </si>
  <si>
    <t>Coproc load miss rate</t>
  </si>
  <si>
    <t>Number of vmem pri+sec misses / number of vmem loads</t>
  </si>
  <si>
    <t>L2 cache DU Prefetch Miss</t>
  </si>
  <si>
    <t xml:space="preserve">Number of Misses in L2 from IU requests (Demand &amp; L1 Prefetch) </t>
  </si>
  <si>
    <t>L2FETCH Programmed Miss</t>
  </si>
  <si>
    <t>L2FETCH auto-IU Miss</t>
  </si>
  <si>
    <t>Number of Misses in L2 from L2FETCH programmed fetches</t>
  </si>
  <si>
    <t>Number of Misses in L2 from L2FETCH engine auto-requesting additional instruction lines</t>
  </si>
  <si>
    <t>L2 evictions</t>
  </si>
  <si>
    <t>Number of castouts from L2</t>
  </si>
  <si>
    <t>Number of Misses in L2 from allocating stores</t>
  </si>
  <si>
    <t>Icache Prefetch to L2</t>
  </si>
  <si>
    <t>Number of IU generated prefetches sent to L2</t>
  </si>
  <si>
    <t>Dcache Prefetch to L2</t>
  </si>
  <si>
    <t>Dcache Primary Miss</t>
  </si>
  <si>
    <t>Caches &amp; Prefetch</t>
  </si>
  <si>
    <t>DCFETCH Issued</t>
  </si>
  <si>
    <t>DCFETCH Hit</t>
  </si>
  <si>
    <t>DCFETCH Filled</t>
  </si>
  <si>
    <t>Number of loads which were uncacheable or device-type</t>
  </si>
  <si>
    <t>0x2b</t>
  </si>
  <si>
    <t>0x22</t>
  </si>
  <si>
    <t>L2 cache WB Store Allocations</t>
  </si>
  <si>
    <t>Cycles Per Packet while 1 thread is running</t>
  </si>
  <si>
    <t>L2 cache IU Prefetch Miss</t>
  </si>
  <si>
    <t>Number of Misses in L2 from IU prefetches</t>
  </si>
  <si>
    <t xml:space="preserve">Number of Misses in L2 from DU requests (Demand &amp; L1 Prefetch) </t>
  </si>
  <si>
    <t>Number of Misses in L2 from DU prefetches</t>
  </si>
  <si>
    <t>L2 cache IU Total Miss</t>
  </si>
  <si>
    <t>L2 cache DU Total Miss</t>
  </si>
  <si>
    <t xml:space="preserve">L2 cache DU Demand Miss </t>
  </si>
  <si>
    <t xml:space="preserve">Number of Misses in L2 from DU requests (Demand only) </t>
  </si>
  <si>
    <t xml:space="preserve">L2 cache IU Demand Miss </t>
  </si>
  <si>
    <t xml:space="preserve">Number of Misses in L2 from IU requests (Demand only) </t>
  </si>
  <si>
    <t>Branch Miss Rate (w/ endloop)</t>
  </si>
  <si>
    <t>Branch Miss Rate (no endloop)</t>
  </si>
  <si>
    <t>Number of branch direction mispredicts / ( Number of predicted branches)</t>
  </si>
  <si>
    <t>Uncacheable Store</t>
  </si>
  <si>
    <t>Number of stores which were uncacheable or device-type</t>
  </si>
  <si>
    <t>Dcache Total Miss</t>
  </si>
  <si>
    <t>Icache Total Miss</t>
  </si>
  <si>
    <t xml:space="preserve">Number of Icache misses (Primary and Secondary) </t>
  </si>
  <si>
    <t xml:space="preserve">Number of Dcache misses (Primary and Secondary) </t>
  </si>
  <si>
    <t>Number of Dcache primary misses</t>
  </si>
  <si>
    <t>Number of accesses to the dcache which missed and hit reserved line</t>
  </si>
  <si>
    <t>Buses</t>
  </si>
  <si>
    <t>AXI2 Reads</t>
  </si>
  <si>
    <t>AXI2 Writes</t>
  </si>
  <si>
    <t>Number of reads from the AXI2 bus</t>
  </si>
  <si>
    <t>Number of writes to the AXI2 bus</t>
  </si>
  <si>
    <t>AHB Reads</t>
  </si>
  <si>
    <t>AHB Writes</t>
  </si>
  <si>
    <t>Number of reads from the AHB bus</t>
  </si>
  <si>
    <t>Number of writes to the AHB bus</t>
  </si>
  <si>
    <t>Total Bus Reads</t>
  </si>
  <si>
    <t>Total Bus Writes</t>
  </si>
  <si>
    <t>Total Bus Read Transactions</t>
  </si>
  <si>
    <t>Total Bus Write Transactions</t>
  </si>
  <si>
    <t>0x75</t>
  </si>
  <si>
    <t>0xf7</t>
  </si>
  <si>
    <t>Instructions per processor cycle (includes 2*endloops)</t>
  </si>
  <si>
    <t>VLIW packet density (no endloops)</t>
  </si>
  <si>
    <t>0x74</t>
  </si>
  <si>
    <t>0xef</t>
  </si>
  <si>
    <t xml:space="preserve">COPROC_L2_LOAD_SECONDARY_MISS               </t>
  </si>
  <si>
    <t>0x2c</t>
  </si>
  <si>
    <t>0x5e</t>
  </si>
  <si>
    <t xml:space="preserve">COUNTER0_OVERFLOW                           </t>
  </si>
  <si>
    <t xml:space="preserve">COUNTER2_OVERFLOW                           </t>
  </si>
  <si>
    <t xml:space="preserve">COMMITTED_PKT_ANY                           </t>
  </si>
  <si>
    <t xml:space="preserve">COMMITTED_PKT_BSB                           </t>
  </si>
  <si>
    <t xml:space="preserve">COUNTER4_OVERFLOW                           </t>
  </si>
  <si>
    <t xml:space="preserve">COUNTER6_OVERFLOW                           </t>
  </si>
  <si>
    <t xml:space="preserve">COMMITTED_PKT_B2B                           </t>
  </si>
  <si>
    <t xml:space="preserve">COMMITTED_PKT_SMT                           </t>
  </si>
  <si>
    <t xml:space="preserve">ICACHE_DEMAND_MISS_CYCLES                   </t>
  </si>
  <si>
    <t xml:space="preserve">ICACHE_DEMAND_MISS                          </t>
  </si>
  <si>
    <t xml:space="preserve">DCACHE_DEMAND_MISS                          </t>
  </si>
  <si>
    <t xml:space="preserve">ARCH_LOCK_TVIEW_CYCLES                      </t>
  </si>
  <si>
    <t xml:space="preserve">IU_NO_PKT_TVIEW_CYCLES                      </t>
  </si>
  <si>
    <t xml:space="preserve">IU_BRANCH_MISS_TVIEW_CYCLES                 </t>
  </si>
  <si>
    <t xml:space="preserve">DU_CACHE_MISS_TVIEW_CYCLES                  </t>
  </si>
  <si>
    <t xml:space="preserve">DU_BUSY_OTHER_TVIEW_CYCLES                  </t>
  </si>
  <si>
    <t xml:space="preserve">CU_BUSY_TVIEW_CYCLES                        </t>
  </si>
  <si>
    <t xml:space="preserve">SMT_DU_CONFLICT_TVIEW_CYCLES                </t>
  </si>
  <si>
    <t xml:space="preserve">SMT_XU_CONFLICT_TVIEW_CYCLES                </t>
  </si>
  <si>
    <t xml:space="preserve">ANY_IU_REPLAY                               </t>
  </si>
  <si>
    <t xml:space="preserve">ANY_DU_REPLAY                               </t>
  </si>
  <si>
    <t xml:space="preserve">CU_EARLY_CANCEL                             </t>
  </si>
  <si>
    <t xml:space="preserve">COMMITTED_PKT_1_THREAD_RUNNING              </t>
  </si>
  <si>
    <t xml:space="preserve">COMMITTED_PKT_2_THREAD_RUNNING              </t>
  </si>
  <si>
    <t xml:space="preserve">COMMITTED_PKT_3_THREAD_RUNNING              </t>
  </si>
  <si>
    <t xml:space="preserve">COMMITTED_INSTS                             </t>
  </si>
  <si>
    <t xml:space="preserve">COMMITTED_TC1_INSTS                         </t>
  </si>
  <si>
    <t xml:space="preserve">COMMITTED_PRIVATE_INSTS                     </t>
  </si>
  <si>
    <t xml:space="preserve">COMMITTED_PKT_4_THREAD_RUNNING              </t>
  </si>
  <si>
    <t xml:space="preserve">COMMITTED_LOADS                             </t>
  </si>
  <si>
    <t xml:space="preserve">COMMITTED_STORES                            </t>
  </si>
  <si>
    <t xml:space="preserve">COMMITTED_MEMOPS                            </t>
  </si>
  <si>
    <t xml:space="preserve">COMMITTED_PROGRAM_FLOW_INSTS                </t>
  </si>
  <si>
    <t xml:space="preserve">COMMITTED_PKT_CHANGED_FLOW                  </t>
  </si>
  <si>
    <t xml:space="preserve">COMMITTED_PKT_ENDLOOP                       </t>
  </si>
  <si>
    <t xml:space="preserve">CYCLES_1_THREAD_RUNNING                     </t>
  </si>
  <si>
    <t xml:space="preserve">CYCLES_2_THREAD_RUNNING                     </t>
  </si>
  <si>
    <t xml:space="preserve">CYCLES_3_THREAD_RUNNING                     </t>
  </si>
  <si>
    <t xml:space="preserve">CYCLES_4_THREAD_RUNNING                     </t>
  </si>
  <si>
    <t xml:space="preserve">AXI_READ_REQUEST                            </t>
  </si>
  <si>
    <t xml:space="preserve">AXI_LINE32_READ_REQUEST                     </t>
  </si>
  <si>
    <t xml:space="preserve">AXI_WRITE_REQUEST                           </t>
  </si>
  <si>
    <t xml:space="preserve">AXI_LINE32_WRITE_REQUEST                    </t>
  </si>
  <si>
    <t xml:space="preserve">AHB_READ_REQUEST                            </t>
  </si>
  <si>
    <t xml:space="preserve">AHB_WRITE_REQUEST                           </t>
  </si>
  <si>
    <t xml:space="preserve">AXI_SLAVE_MULTI_BEAT_ACCESS                 </t>
  </si>
  <si>
    <t xml:space="preserve">AXI_SLAVE_SINGLE_BEAT_ACCESS                </t>
  </si>
  <si>
    <t xml:space="preserve">AXI2_READ_REQUEST                           </t>
  </si>
  <si>
    <t xml:space="preserve">AXI2_LINE32_READ_REQUEST                    </t>
  </si>
  <si>
    <t xml:space="preserve">AXI2_WRITE_REQUEST                          </t>
  </si>
  <si>
    <t xml:space="preserve">AXI2_LINE32_WRITE_REQUEST                   </t>
  </si>
  <si>
    <t xml:space="preserve">AXI2_CONGESTION                             </t>
  </si>
  <si>
    <t xml:space="preserve">COMMITTED_FPS                               </t>
  </si>
  <si>
    <t xml:space="preserve">BRANCH_MISPREDICT_DIRECTION                 </t>
  </si>
  <si>
    <t xml:space="preserve">BRANCH_MISPREDICT_TARGET                    </t>
  </si>
  <si>
    <t xml:space="preserve">JTLB_MISS                                   </t>
  </si>
  <si>
    <t xml:space="preserve">COMMITTED_PKT_RETURN                        </t>
  </si>
  <si>
    <t xml:space="preserve">COMMITTED_PKT_INDIRECT_JUMP                 </t>
  </si>
  <si>
    <t xml:space="preserve">COMMITTED_BIMODAL_BRANCH_INSTS              </t>
  </si>
  <si>
    <t xml:space="preserve">BRANCH_QUEUE_FULL                           </t>
  </si>
  <si>
    <t xml:space="preserve">SMT_XU_CONFLICT                             </t>
  </si>
  <si>
    <t xml:space="preserve">IU_LINE_FROM_LOOP_BUFFER                    </t>
  </si>
  <si>
    <t xml:space="preserve">IU_1_PKT_AVAILABLE_TO_ISSUE                 </t>
  </si>
  <si>
    <t xml:space="preserve">IU_REQUESTS_TO_L2_REPLAYED                  </t>
  </si>
  <si>
    <t xml:space="preserve">IU_PREFETCHES_SENT_TO_L2                    </t>
  </si>
  <si>
    <t xml:space="preserve">ITLB_MISS                                   </t>
  </si>
  <si>
    <t xml:space="preserve">IU_2_PKT_AVAILABLE_TO_ISSUE                 </t>
  </si>
  <si>
    <t xml:space="preserve">IU_3_PKT_AVAILABLE_TO_ISSUE                 </t>
  </si>
  <si>
    <t xml:space="preserve">IU_REQUEST_STALLED                          </t>
  </si>
  <si>
    <t xml:space="preserve">BIMODAL_UPDATE_DROPPED                      </t>
  </si>
  <si>
    <t xml:space="preserve">IU_0_PKT_AVAILABLE_TO_ISSUE                 </t>
  </si>
  <si>
    <t xml:space="preserve">IU_LINE_FALL_THROUGH                        </t>
  </si>
  <si>
    <t xml:space="preserve">IU_LEFTOVER_DROPPED                         </t>
  </si>
  <si>
    <t xml:space="preserve">L2FETCH_IU_ACCESS                           </t>
  </si>
  <si>
    <t xml:space="preserve">L2FETCH_IU_MISS                             </t>
  </si>
  <si>
    <t xml:space="preserve">L2_IU_ACCESS                                </t>
  </si>
  <si>
    <t xml:space="preserve">L2_IU_MISS                                  </t>
  </si>
  <si>
    <t xml:space="preserve">L2_IU_PREFETCH_ACCESS                       </t>
  </si>
  <si>
    <t xml:space="preserve">L2_IU_PREFETCH_MISS                         </t>
  </si>
  <si>
    <t xml:space="preserve">L2_DU_READ_ACCESS                           </t>
  </si>
  <si>
    <t xml:space="preserve">L2_DU_READ_MISS                             </t>
  </si>
  <si>
    <t xml:space="preserve">L2FETCH_ACCESS                              </t>
  </si>
  <si>
    <t xml:space="preserve">L2FETCH_MISS                                </t>
  </si>
  <si>
    <t xml:space="preserve">L2_AXI_INTERLEAVE_DROP                      </t>
  </si>
  <si>
    <t xml:space="preserve">L2_ACCESS                                   </t>
  </si>
  <si>
    <t xml:space="preserve">L2_PIPE_CONFLICT                            </t>
  </si>
  <si>
    <t xml:space="preserve">L2_TAG_ARRAY_CONFLICT                       </t>
  </si>
  <si>
    <t xml:space="preserve">AXI_RD_CONGESTION                           </t>
  </si>
  <si>
    <t xml:space="preserve">AHB_CONGESTION                              </t>
  </si>
  <si>
    <t xml:space="preserve">TCM_DU_ACCESS                               </t>
  </si>
  <si>
    <t xml:space="preserve">TCM_DU_READ_ACCESS                          </t>
  </si>
  <si>
    <t xml:space="preserve">TCM_IU_ACCESS                               </t>
  </si>
  <si>
    <t xml:space="preserve">L2_CASTOUT                                  </t>
  </si>
  <si>
    <t xml:space="preserve">L2_DU_STORE_ACCESS                          </t>
  </si>
  <si>
    <t xml:space="preserve">L2_DU_STORE_MISS                            </t>
  </si>
  <si>
    <t xml:space="preserve">L2_DU_PREFETCH_ACCESS                       </t>
  </si>
  <si>
    <t xml:space="preserve">L2_DU_PREFETCH_MISS                         </t>
  </si>
  <si>
    <t xml:space="preserve">L2_DU_RETURN_NOT_ACKED                      </t>
  </si>
  <si>
    <t xml:space="preserve">L2_DU_LOAD_SECONDARY_MISS                   </t>
  </si>
  <si>
    <t xml:space="preserve">L2FETCH_COMMAND                             </t>
  </si>
  <si>
    <t xml:space="preserve">L2FETCH_COMMAND_KILLED                      </t>
  </si>
  <si>
    <t xml:space="preserve">L2FETCH_COMMAND_OVERWRITE                   </t>
  </si>
  <si>
    <t xml:space="preserve">L2_ACCESS_EVEN                              </t>
  </si>
  <si>
    <t xml:space="preserve">ANY_DU_STALL                                </t>
  </si>
  <si>
    <t xml:space="preserve">DU_BANK_CONFLICT_REPLAY                     </t>
  </si>
  <si>
    <t xml:space="preserve">L2_FIFO_FULL_REPLAY                         </t>
  </si>
  <si>
    <t xml:space="preserve">DU_STORE_BUFFER_FULL_REPLAY                 </t>
  </si>
  <si>
    <t xml:space="preserve">DU_FILL_REPLAY                              </t>
  </si>
  <si>
    <t xml:space="preserve">DU_READ_TO_L2                               </t>
  </si>
  <si>
    <t xml:space="preserve">DU_WRITE_TO_L2                              </t>
  </si>
  <si>
    <t xml:space="preserve">DCZERO_COMMITTED                            </t>
  </si>
  <si>
    <t xml:space="preserve">DTLB_MISS                                   </t>
  </si>
  <si>
    <t xml:space="preserve">STORE_BUFFER_HIT_REPLAY                     </t>
  </si>
  <si>
    <t xml:space="preserve">STORE_BUFFER_FORCE_REPLAY                   </t>
  </si>
  <si>
    <t xml:space="preserve">SMT_BANK_CONFLICT                           </t>
  </si>
  <si>
    <t xml:space="preserve">SMT_PORT_CONFLICT                           </t>
  </si>
  <si>
    <t xml:space="preserve">PAGE_CROSS_REPLAY                           </t>
  </si>
  <si>
    <t xml:space="preserve">DU_DEMAND_SECONDARY_MISS                    </t>
  </si>
  <si>
    <t xml:space="preserve">DCFETCH_COMMITTED                           </t>
  </si>
  <si>
    <t xml:space="preserve">DCFETCH_HIT                                 </t>
  </si>
  <si>
    <t xml:space="preserve">DCFETCH_MISS                                </t>
  </si>
  <si>
    <t xml:space="preserve">DU_LOAD_UNCACHEABLE                         </t>
  </si>
  <si>
    <t xml:space="preserve">DU_DUAL_LOAD_UNCACHEABLE                    </t>
  </si>
  <si>
    <t xml:space="preserve">DU_STORE_UNCACHEABLE                        </t>
  </si>
  <si>
    <t xml:space="preserve">MISS_TO_PREFETCH                            </t>
  </si>
  <si>
    <t xml:space="preserve">AXI_LINE64_READ_REQUEST                     </t>
  </si>
  <si>
    <t xml:space="preserve">AXI_LINE64_WRITE_REQUEST                    </t>
  </si>
  <si>
    <t xml:space="preserve">AXI_WR_CONGESTION                           </t>
  </si>
  <si>
    <t xml:space="preserve">AHB_8_READ_REQUEST                          </t>
  </si>
  <si>
    <t xml:space="preserve">AXI_INCOMPLETE_WRITE_REQUEST                </t>
  </si>
  <si>
    <t xml:space="preserve">L2FETCH_COMMAND_PAGE_TERMINATION            </t>
  </si>
  <si>
    <t xml:space="preserve">REQUEST_STALL_WRITE_BUFFER_EXHAUSTION       </t>
  </si>
  <si>
    <t xml:space="preserve">L2_DU_STORE_COALESCE                        </t>
  </si>
  <si>
    <t xml:space="preserve">REQUEST_STALL_EVICTION_BUFFER_EXHAUSTION    </t>
  </si>
  <si>
    <t xml:space="preserve">AHB_MULTI_BEAT_READ_REQUEST                 </t>
  </si>
  <si>
    <t xml:space="preserve">L2_DU_LOAD_SECONDARY_MISS_ON_SW_PREFETCH    </t>
  </si>
  <si>
    <t xml:space="preserve">ARCH_LOCK_PVIEW_CYCLES                      </t>
  </si>
  <si>
    <t xml:space="preserve">IU_NO_PKT_PVIEW_CYCLES                      </t>
  </si>
  <si>
    <t xml:space="preserve">IU_BRANCH_MISS_PVIEW_CYCLES                 </t>
  </si>
  <si>
    <t xml:space="preserve">DU_CACHE_MISS_PVIEW_CYCLES                  </t>
  </si>
  <si>
    <t xml:space="preserve">DU_BUSY_OTHER_PVIEW_CYCLES                  </t>
  </si>
  <si>
    <t xml:space="preserve">CU_BUSY_PVIEW_CYCLES                        </t>
  </si>
  <si>
    <t xml:space="preserve">SMT_DU_CONFLICT_PVIEW_CYCLES                </t>
  </si>
  <si>
    <t xml:space="preserve">SMT_XU_CONFLICT_PVIEW_CYCLES                </t>
  </si>
  <si>
    <t xml:space="preserve">COPROC_L2_STORE_TO_LOAD_MISS                </t>
  </si>
  <si>
    <t xml:space="preserve">COPROC_PKT_THREAD                           </t>
  </si>
  <si>
    <t xml:space="preserve">COPROC_PKT_COUNT                            </t>
  </si>
  <si>
    <t xml:space="preserve">COPROC_POWER_THROTTLING_STALL_CYCLES        </t>
  </si>
  <si>
    <t xml:space="preserve">COPROC_REGISTER_STALL_CYCLES                </t>
  </si>
  <si>
    <t xml:space="preserve">COPROC_LOAD_STALL_CYCLES                    </t>
  </si>
  <si>
    <t xml:space="preserve">COPROC_STORE_STALL_CYCLES                   </t>
  </si>
  <si>
    <t xml:space="preserve">COPROC_BUSY_STALL_CYCLES                    </t>
  </si>
  <si>
    <t xml:space="preserve">COPROC_FREEZE_STALL_CYCLES                  </t>
  </si>
  <si>
    <t xml:space="preserve">COPROC_CORE_VFIFO_FULL_STALL                </t>
  </si>
  <si>
    <t xml:space="preserve">COPROC_L2_STORE_ACCESS                      </t>
  </si>
  <si>
    <t xml:space="preserve">COPROC_L2_STORE_MISS                        </t>
  </si>
  <si>
    <t xml:space="preserve">COPROC_L2_LOAD_ACCESS                       </t>
  </si>
  <si>
    <t xml:space="preserve">COPROC_L2_LOAD_MISS                         </t>
  </si>
  <si>
    <t xml:space="preserve">COPROC_TCM_STORE_ACCESS                     </t>
  </si>
  <si>
    <t xml:space="preserve">COPROC_TCM_LOAD_ACCESS                      </t>
  </si>
  <si>
    <t>Number of single cycle delayed ALU instructions  (tc1-type) or Coproc VX instructions</t>
  </si>
  <si>
    <t>Committed tc1/vx</t>
  </si>
  <si>
    <t>Committed VMEM Loads</t>
  </si>
  <si>
    <t>Committed VMEM Stores</t>
  </si>
  <si>
    <t>Number of HVX vector load instructions</t>
  </si>
  <si>
    <t>Cycles/Packets (pCPP)</t>
  </si>
  <si>
    <t>Instructions/Cycle (IPC)</t>
  </si>
  <si>
    <t>LoadPmuStatsFile Macro button added to input hexagon-sim pmu_stats text file format.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</si>
</sst>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0.000"/>
    <numFmt numFmtId="167" formatCode="_(* #,##0.000_);_(* \(#,##0.000\);_(* &quot;-&quot;??_);_(@_)"/>
  </numFmts>
  <fonts count="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0" tint="-0.249977111117893"/>
      <name val="Arial"/>
      <family val="2"/>
    </font>
    <font>
      <b/>
      <sz val="10"/>
      <color theme="0" tint="-0.249977111117893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u/>
      <sz val="10"/>
      <color theme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51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49" fontId="3" fillId="0" borderId="0" xfId="0" applyNumberFormat="1" applyFont="1" applyAlignment="1" applyProtection="1">
      <alignment horizontal="left"/>
    </xf>
    <xf numFmtId="164" fontId="2" fillId="0" borderId="0" xfId="1" applyNumberFormat="1" applyFont="1" applyAlignment="1" applyProtection="1">
      <alignment horizontal="center"/>
    </xf>
    <xf numFmtId="43" fontId="2" fillId="0" borderId="0" xfId="1" applyFont="1" applyAlignment="1" applyProtection="1">
      <alignment horizontal="center" wrapText="1"/>
    </xf>
    <xf numFmtId="0" fontId="2" fillId="0" borderId="1" xfId="0" applyFont="1" applyBorder="1" applyProtection="1"/>
    <xf numFmtId="49" fontId="3" fillId="0" borderId="1" xfId="0" applyNumberFormat="1" applyFont="1" applyBorder="1" applyAlignment="1" applyProtection="1">
      <alignment horizontal="left"/>
    </xf>
    <xf numFmtId="164" fontId="0" fillId="0" borderId="1" xfId="1" applyNumberFormat="1" applyFont="1" applyBorder="1" applyProtection="1"/>
    <xf numFmtId="43" fontId="0" fillId="0" borderId="1" xfId="1" applyFont="1" applyBorder="1" applyProtection="1"/>
    <xf numFmtId="43" fontId="0" fillId="0" borderId="0" xfId="1" applyNumberFormat="1" applyFont="1" applyProtection="1"/>
    <xf numFmtId="43" fontId="0" fillId="0" borderId="0" xfId="1" applyFont="1" applyProtection="1"/>
    <xf numFmtId="0" fontId="5" fillId="0" borderId="0" xfId="0" applyFont="1" applyProtection="1"/>
    <xf numFmtId="164" fontId="0" fillId="0" borderId="0" xfId="1" applyNumberFormat="1" applyFont="1" applyProtection="1"/>
    <xf numFmtId="49" fontId="4" fillId="0" borderId="1" xfId="0" applyNumberFormat="1" applyFont="1" applyBorder="1" applyAlignment="1" applyProtection="1">
      <alignment horizontal="left"/>
    </xf>
    <xf numFmtId="0" fontId="2" fillId="2" borderId="0" xfId="0" applyFont="1" applyFill="1" applyAlignment="1" applyProtection="1">
      <alignment horizontal="center"/>
      <protection locked="0"/>
    </xf>
    <xf numFmtId="164" fontId="2" fillId="2" borderId="0" xfId="1" applyNumberFormat="1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164" fontId="0" fillId="2" borderId="0" xfId="1" applyNumberFormat="1" applyFont="1" applyFill="1" applyProtection="1">
      <protection locked="0"/>
    </xf>
    <xf numFmtId="165" fontId="0" fillId="0" borderId="0" xfId="2" applyNumberFormat="1" applyFont="1" applyProtection="1"/>
    <xf numFmtId="165" fontId="0" fillId="0" borderId="1" xfId="2" applyNumberFormat="1" applyFont="1" applyBorder="1" applyProtection="1"/>
    <xf numFmtId="43" fontId="6" fillId="0" borderId="0" xfId="1" applyFont="1" applyAlignment="1" applyProtection="1">
      <alignment horizontal="center" wrapText="1"/>
    </xf>
    <xf numFmtId="0" fontId="5" fillId="0" borderId="0" xfId="0" applyNumberFormat="1" applyFont="1" applyProtection="1"/>
    <xf numFmtId="0" fontId="5" fillId="0" borderId="1" xfId="0" applyFont="1" applyBorder="1" applyProtection="1"/>
    <xf numFmtId="0" fontId="2" fillId="0" borderId="2" xfId="0" applyFont="1" applyFill="1" applyBorder="1" applyAlignment="1" applyProtection="1">
      <alignment horizontal="center" wrapText="1"/>
      <protection locked="0"/>
    </xf>
    <xf numFmtId="164" fontId="2" fillId="0" borderId="2" xfId="1" applyNumberFormat="1" applyFont="1" applyFill="1" applyBorder="1" applyAlignment="1" applyProtection="1">
      <alignment horizontal="center" wrapText="1"/>
      <protection locked="0"/>
    </xf>
    <xf numFmtId="0" fontId="0" fillId="0" borderId="2" xfId="0" applyFill="1" applyBorder="1" applyAlignment="1" applyProtection="1">
      <alignment wrapText="1"/>
      <protection locked="0"/>
    </xf>
    <xf numFmtId="49" fontId="3" fillId="0" borderId="2" xfId="0" applyNumberFormat="1" applyFont="1" applyFill="1" applyBorder="1" applyAlignment="1" applyProtection="1">
      <alignment horizontal="left" wrapText="1"/>
    </xf>
    <xf numFmtId="164" fontId="2" fillId="0" borderId="2" xfId="1" applyNumberFormat="1" applyFont="1" applyFill="1" applyBorder="1" applyAlignment="1" applyProtection="1">
      <alignment horizontal="center" wrapText="1"/>
    </xf>
    <xf numFmtId="43" fontId="2" fillId="0" borderId="2" xfId="1" applyFont="1" applyFill="1" applyBorder="1" applyAlignment="1" applyProtection="1">
      <alignment horizontal="center" wrapText="1"/>
    </xf>
    <xf numFmtId="0" fontId="2" fillId="0" borderId="2" xfId="0" applyFont="1" applyFill="1" applyBorder="1" applyAlignment="1" applyProtection="1">
      <alignment wrapText="1"/>
    </xf>
    <xf numFmtId="14" fontId="0" fillId="0" borderId="0" xfId="0" applyNumberFormat="1"/>
    <xf numFmtId="49" fontId="3" fillId="0" borderId="0" xfId="0" applyNumberFormat="1" applyFont="1" applyBorder="1" applyAlignment="1" applyProtection="1">
      <alignment horizontal="left"/>
    </xf>
    <xf numFmtId="43" fontId="0" fillId="0" borderId="0" xfId="1" applyFont="1" applyBorder="1" applyProtection="1"/>
    <xf numFmtId="43" fontId="0" fillId="0" borderId="1" xfId="1" applyNumberFormat="1" applyFont="1" applyBorder="1" applyProtection="1"/>
    <xf numFmtId="0" fontId="7" fillId="0" borderId="0" xfId="0" applyFont="1" applyFill="1" applyAlignment="1" applyProtection="1">
      <alignment vertical="top"/>
      <protection locked="0"/>
    </xf>
    <xf numFmtId="0" fontId="0" fillId="0" borderId="0" xfId="0" applyFill="1" applyBorder="1" applyProtection="1"/>
    <xf numFmtId="0" fontId="5" fillId="0" borderId="0" xfId="0" applyFont="1"/>
    <xf numFmtId="10" fontId="0" fillId="0" borderId="0" xfId="2" applyNumberFormat="1" applyFont="1" applyProtection="1"/>
    <xf numFmtId="166" fontId="0" fillId="0" borderId="0" xfId="2" applyNumberFormat="1" applyFont="1" applyProtection="1"/>
    <xf numFmtId="9" fontId="0" fillId="0" borderId="0" xfId="2" applyNumberFormat="1" applyFont="1" applyProtection="1"/>
    <xf numFmtId="9" fontId="0" fillId="0" borderId="0" xfId="1" applyNumberFormat="1" applyFont="1" applyProtection="1"/>
    <xf numFmtId="2" fontId="0" fillId="0" borderId="0" xfId="2" applyNumberFormat="1" applyFont="1" applyProtection="1"/>
    <xf numFmtId="9" fontId="0" fillId="0" borderId="0" xfId="2" applyFont="1" applyProtection="1"/>
    <xf numFmtId="43" fontId="0" fillId="0" borderId="0" xfId="0" applyNumberFormat="1" applyProtection="1">
      <protection locked="0"/>
    </xf>
    <xf numFmtId="167" fontId="0" fillId="0" borderId="0" xfId="1" applyNumberFormat="1" applyFont="1" applyProtection="1"/>
    <xf numFmtId="164" fontId="0" fillId="0" borderId="0" xfId="1" applyNumberFormat="1" applyFont="1" applyFill="1" applyProtection="1"/>
    <xf numFmtId="0" fontId="0" fillId="0" borderId="0" xfId="0" applyFill="1" applyProtection="1"/>
    <xf numFmtId="49" fontId="3" fillId="0" borderId="0" xfId="0" applyNumberFormat="1" applyFont="1" applyFill="1" applyAlignment="1" applyProtection="1">
      <alignment horizontal="left"/>
    </xf>
    <xf numFmtId="0" fontId="7" fillId="0" borderId="0" xfId="0" applyFont="1" applyFill="1" applyAlignment="1" applyProtection="1">
      <alignment horizontal="center" vertical="top"/>
      <protection locked="0"/>
    </xf>
    <xf numFmtId="0" fontId="8" fillId="0" borderId="0" xfId="3" applyFill="1" applyAlignment="1" applyProtection="1">
      <alignment horizontal="center"/>
      <protection locked="0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68"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0F2A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0F2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6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chartsheet" Target="chartsheets/sheet1.xml"/><Relationship Id="rId7" Type="http://schemas.openxmlformats.org/officeDocument/2006/relationships/chartsheet" Target="chartsheets/sheet5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4.xml"/><Relationship Id="rId11" Type="http://schemas.openxmlformats.org/officeDocument/2006/relationships/connections" Target="connections.xml"/><Relationship Id="rId5" Type="http://schemas.openxmlformats.org/officeDocument/2006/relationships/chartsheet" Target="chartsheets/sheet3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chartsheet" Target="chartsheets/sheet2.xml"/><Relationship Id="rId9" Type="http://schemas.openxmlformats.org/officeDocument/2006/relationships/chartsheet" Target="chartsheets/sheet7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Core Cycle View</a:t>
            </a:r>
          </a:p>
        </c:rich>
      </c:tx>
      <c:layout>
        <c:manualLayout>
          <c:xMode val="edge"/>
          <c:yMode val="edge"/>
          <c:x val="0.41291894096223836"/>
          <c:y val="2.0188814697202753E-2"/>
        </c:manualLayout>
      </c:layout>
      <c:overlay val="0"/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00B050"/>
            </a:solidFill>
          </c:spPr>
          <c:dPt>
            <c:idx val="0"/>
            <c:bubble3D val="0"/>
            <c:spPr>
              <a:solidFill>
                <a:srgbClr val="C00000"/>
              </a:solidFill>
            </c:spPr>
          </c:dPt>
          <c:dLbls>
            <c:dLbl>
              <c:idx val="0"/>
              <c:layout>
                <c:manualLayout>
                  <c:x val="5.977561116856734E-2"/>
                  <c:y val="3.902179946879572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4.5726495825065383E-2"/>
                  <c:y val="-5.9392484016939903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load_pmu_stats!$E$7:$E$9</c:f>
              <c:strCache>
                <c:ptCount val="3"/>
                <c:pt idx="0">
                  <c:v>No Packets committed</c:v>
                </c:pt>
                <c:pt idx="1">
                  <c:v>1 Packet Committed </c:v>
                </c:pt>
                <c:pt idx="2">
                  <c:v>2 Packets Committed (SMT)</c:v>
                </c:pt>
              </c:strCache>
            </c:strRef>
          </c:cat>
          <c:val>
            <c:numRef>
              <c:f>load_pmu_stats!$J$7:$J$9</c:f>
              <c:numCache>
                <c:formatCode>0%</c:formatCode>
                <c:ptCount val="3"/>
                <c:pt idx="0">
                  <c:v>0.81746758169359923</c:v>
                </c:pt>
                <c:pt idx="1">
                  <c:v>0.1825324183064008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Thread Concurrency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load_pmu_stats!$E$23:$E$27</c:f>
              <c:strCache>
                <c:ptCount val="5"/>
                <c:pt idx="0">
                  <c:v>0T Running</c:v>
                </c:pt>
                <c:pt idx="1">
                  <c:v>1T Running</c:v>
                </c:pt>
                <c:pt idx="2">
                  <c:v>2T Running</c:v>
                </c:pt>
                <c:pt idx="3">
                  <c:v>3T Running</c:v>
                </c:pt>
                <c:pt idx="4">
                  <c:v>4T Running</c:v>
                </c:pt>
              </c:strCache>
            </c:strRef>
          </c:cat>
          <c:val>
            <c:numRef>
              <c:f>load_pmu_stats!$J$23:$J$27</c:f>
              <c:numCache>
                <c:formatCode>0.0%</c:formatCode>
                <c:ptCount val="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 Cluster View of CPP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8"/>
            <c:bubble3D val="0"/>
            <c:spPr>
              <a:solidFill>
                <a:srgbClr val="00B050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load_pmu_stats!$E$46:$E$54</c:f>
              <c:strCache>
                <c:ptCount val="9"/>
                <c:pt idx="0">
                  <c:v>Cluster stall Arch Lock Stall</c:v>
                </c:pt>
                <c:pt idx="1">
                  <c:v>Cluster stall No Pkt Avail</c:v>
                </c:pt>
                <c:pt idx="2">
                  <c:v>Cluster stall Re-steer</c:v>
                </c:pt>
                <c:pt idx="3">
                  <c:v>Cluster stall Data Stall</c:v>
                </c:pt>
                <c:pt idx="4">
                  <c:v>Cluster stall DU Busy</c:v>
                </c:pt>
                <c:pt idx="5">
                  <c:v>Cluster stall Reg Interlock</c:v>
                </c:pt>
                <c:pt idx="6">
                  <c:v>Cluster stall SMT DU conflict</c:v>
                </c:pt>
                <c:pt idx="7">
                  <c:v>Cluster stall SMT XU conflict</c:v>
                </c:pt>
                <c:pt idx="8">
                  <c:v>Packet Committed</c:v>
                </c:pt>
              </c:strCache>
            </c:strRef>
          </c:cat>
          <c:val>
            <c:numRef>
              <c:f>load_pmu_stats!$H$46:$H$54</c:f>
              <c:numCache>
                <c:formatCode>_(* #,##0.00_);_(* \(#,##0.00\);_(* "-"??_);_(@_)</c:formatCode>
                <c:ptCount val="9"/>
                <c:pt idx="0">
                  <c:v>0</c:v>
                </c:pt>
                <c:pt idx="1">
                  <c:v>2.3627750812014159</c:v>
                </c:pt>
                <c:pt idx="2">
                  <c:v>1.2209408415751251</c:v>
                </c:pt>
                <c:pt idx="3">
                  <c:v>0.18684719535783365</c:v>
                </c:pt>
                <c:pt idx="4">
                  <c:v>2.9239808766103426E-2</c:v>
                </c:pt>
                <c:pt idx="5">
                  <c:v>0.67867596073136016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 Thread View CPP</a:t>
            </a:r>
          </a:p>
        </c:rich>
      </c:tx>
      <c:layout>
        <c:manualLayout>
          <c:xMode val="edge"/>
          <c:yMode val="edge"/>
          <c:x val="0.37266207798754908"/>
          <c:y val="2.8264340576083853E-2"/>
        </c:manualLayout>
      </c:layout>
      <c:overlay val="0"/>
    </c:title>
    <c:autoTitleDeleted val="0"/>
    <c:plotArea>
      <c:layout/>
      <c:pieChart>
        <c:varyColors val="1"/>
        <c:ser>
          <c:idx val="0"/>
          <c:order val="0"/>
          <c:dPt>
            <c:idx val="7"/>
            <c:bubble3D val="0"/>
            <c:spPr>
              <a:solidFill>
                <a:srgbClr val="00B050"/>
              </a:solidFill>
            </c:spPr>
          </c:dPt>
          <c:dLbls>
            <c:dLbl>
              <c:idx val="1"/>
              <c:layout>
                <c:manualLayout>
                  <c:x val="-0.18661482724390274"/>
                  <c:y val="8.0721080874166143E-2"/>
                </c:manualLayout>
              </c:layout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load_pmu_stats!$E$58:$E$65</c:f>
              <c:strCache>
                <c:ptCount val="8"/>
                <c:pt idx="0">
                  <c:v>Thread stall No Pkt Avail</c:v>
                </c:pt>
                <c:pt idx="1">
                  <c:v>Thread stall Re-steer</c:v>
                </c:pt>
                <c:pt idx="2">
                  <c:v>Thread stall Data Stall</c:v>
                </c:pt>
                <c:pt idx="3">
                  <c:v>Thread stall DU Busy</c:v>
                </c:pt>
                <c:pt idx="4">
                  <c:v>Thread stall Reg Interlock</c:v>
                </c:pt>
                <c:pt idx="5">
                  <c:v>Thread stall SMT DU conflict</c:v>
                </c:pt>
                <c:pt idx="6">
                  <c:v>Thread stall SMT XU conflict</c:v>
                </c:pt>
                <c:pt idx="7">
                  <c:v>Packet Committed</c:v>
                </c:pt>
              </c:strCache>
            </c:strRef>
          </c:cat>
          <c:val>
            <c:numRef>
              <c:f>load_pmu_stats!$H$58:$H$65</c:f>
              <c:numCache>
                <c:formatCode>_(* #,##0.00_);_(* \(#,##0.00\);_(* "-"??_);_(@_)</c:formatCode>
                <c:ptCount val="8"/>
                <c:pt idx="0">
                  <c:v>2.3627750812014159</c:v>
                </c:pt>
                <c:pt idx="1">
                  <c:v>1.2209408415751251</c:v>
                </c:pt>
                <c:pt idx="2">
                  <c:v>0.18684719535783365</c:v>
                </c:pt>
                <c:pt idx="3">
                  <c:v>2.9239808766103426E-2</c:v>
                </c:pt>
                <c:pt idx="4">
                  <c:v>0.67867596073136016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L2Cache Miss Composition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load_pmu_stats!$E$109:$E$115</c:f>
              <c:strCache>
                <c:ptCount val="7"/>
                <c:pt idx="0">
                  <c:v>L2 cache DU Prefetch Miss</c:v>
                </c:pt>
                <c:pt idx="1">
                  <c:v>L2 cache IU Prefetch Miss</c:v>
                </c:pt>
                <c:pt idx="2">
                  <c:v>L2 cache DU Demand Miss </c:v>
                </c:pt>
                <c:pt idx="3">
                  <c:v>L2 cache IU Demand Miss </c:v>
                </c:pt>
                <c:pt idx="4">
                  <c:v>L2 cache WB Store Allocations</c:v>
                </c:pt>
                <c:pt idx="5">
                  <c:v>L2FETCH auto-IU Miss</c:v>
                </c:pt>
                <c:pt idx="6">
                  <c:v>L2FETCH Programmed Miss</c:v>
                </c:pt>
              </c:strCache>
            </c:strRef>
          </c:cat>
          <c:val>
            <c:numRef>
              <c:f>load_pmu_stats!$H$109:$H$115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Instruction Mix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dLbl>
              <c:idx val="7"/>
              <c:layout>
                <c:manualLayout>
                  <c:x val="-3.6949806972077399E-2"/>
                  <c:y val="-5.1714364198586722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load_pmu_stats!$E$32:$E$41</c:f>
              <c:strCache>
                <c:ptCount val="10"/>
                <c:pt idx="0">
                  <c:v>Committed Loads</c:v>
                </c:pt>
                <c:pt idx="1">
                  <c:v>Committed Stores</c:v>
                </c:pt>
                <c:pt idx="2">
                  <c:v>Committed Memops</c:v>
                </c:pt>
                <c:pt idx="3">
                  <c:v>Committed tc1/vx</c:v>
                </c:pt>
                <c:pt idx="4">
                  <c:v>Committed VMEM Loads</c:v>
                </c:pt>
                <c:pt idx="5">
                  <c:v>Committed VMEM Stores</c:v>
                </c:pt>
                <c:pt idx="6">
                  <c:v>Committed Cond Branches</c:v>
                </c:pt>
                <c:pt idx="7">
                  <c:v>Committed Uncond Branches</c:v>
                </c:pt>
                <c:pt idx="8">
                  <c:v>Committed Endloops</c:v>
                </c:pt>
                <c:pt idx="9">
                  <c:v>Committed ComplexALU</c:v>
                </c:pt>
              </c:strCache>
            </c:strRef>
          </c:cat>
          <c:val>
            <c:numRef>
              <c:f>load_pmu_stats!$I$32:$I$41</c:f>
              <c:numCache>
                <c:formatCode>0.0%</c:formatCode>
                <c:ptCount val="10"/>
                <c:pt idx="0">
                  <c:v>0.15565371206081902</c:v>
                </c:pt>
                <c:pt idx="1">
                  <c:v>9.6846484670364066E-2</c:v>
                </c:pt>
                <c:pt idx="2">
                  <c:v>2.0631113635352764E-3</c:v>
                </c:pt>
                <c:pt idx="3">
                  <c:v>0.36741857895078983</c:v>
                </c:pt>
                <c:pt idx="4">
                  <c:v>0</c:v>
                </c:pt>
                <c:pt idx="5">
                  <c:v>0</c:v>
                </c:pt>
                <c:pt idx="6">
                  <c:v>0.13281920917485809</c:v>
                </c:pt>
                <c:pt idx="7">
                  <c:v>9.4968129548339414E-2</c:v>
                </c:pt>
                <c:pt idx="8">
                  <c:v>1.0825347187770505E-2</c:v>
                </c:pt>
                <c:pt idx="9">
                  <c:v>0.13940542704352379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HVX</a:t>
            </a:r>
            <a:r>
              <a:rPr lang="en-US" baseline="0"/>
              <a:t> Cycles</a:t>
            </a:r>
            <a:endParaRPr lang="en-US"/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</c:spPr>
          </c:dPt>
          <c:dPt>
            <c:idx val="2"/>
            <c:bubble3D val="0"/>
            <c:spPr>
              <a:solidFill>
                <a:schemeClr val="accent2">
                  <a:lumMod val="50000"/>
                </a:schemeClr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load_pmu_stats!$E$135:$E$139</c:f>
              <c:strCache>
                <c:ptCount val="5"/>
                <c:pt idx="0">
                  <c:v>Packets executed on Coproc</c:v>
                </c:pt>
                <c:pt idx="1">
                  <c:v>Coproc interlock stalls</c:v>
                </c:pt>
                <c:pt idx="2">
                  <c:v>Coproc vmem load stalls</c:v>
                </c:pt>
                <c:pt idx="3">
                  <c:v>Coproc vmem store stalls</c:v>
                </c:pt>
                <c:pt idx="4">
                  <c:v>Non coproc packets</c:v>
                </c:pt>
              </c:strCache>
            </c:strRef>
          </c:cat>
          <c:val>
            <c:numRef>
              <c:f>load_pmu_stats!$J$135:$J$139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0.1825324183064008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"/>
  <sheetViews>
    <sheetView zoomScale="12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4"/>
  <sheetViews>
    <sheetView zoomScale="128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5"/>
  <sheetViews>
    <sheetView zoomScale="128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6"/>
  <sheetViews>
    <sheetView zoomScale="128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7"/>
  <sheetViews>
    <sheetView zoomScale="128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8"/>
  <sheetViews>
    <sheetView zoomScale="128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Chart9"/>
  <sheetViews>
    <sheetView zoomScale="128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4333875</xdr:colOff>
          <xdr:row>0</xdr:row>
          <xdr:rowOff>0</xdr:rowOff>
        </xdr:from>
        <xdr:to>
          <xdr:col>11</xdr:col>
          <xdr:colOff>5572125</xdr:colOff>
          <xdr:row>1</xdr:row>
          <xdr:rowOff>47625</xdr:rowOff>
        </xdr:to>
        <xdr:sp macro="" textlink="">
          <xdr:nvSpPr>
            <xdr:cNvPr id="9217" name="LoadPmuStatsFile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6680" cy="62954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6680" cy="62954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6680" cy="62954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6680" cy="62954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76680" cy="62954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76680" cy="62954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76680" cy="62954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name="pmu_statsfile_142" growShrinkType="overwriteClear" connectionId="2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pmu_statsfile_2" growShrinkType="overwriteClear" connectionId="7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pmu_statsfile_74" growShrinkType="overwriteClear" connectionId="10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pmu_statsfile_30" growShrinkType="overwriteClear" connectionId="8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pmu_statsfile_4" growShrinkType="overwriteClear" connectionId="9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pmu_statsfile_27" growShrinkType="overwriteClear" connectionId="7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pmu_statsfile_13" growShrinkType="overwriteClear" connectionId="6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pmu_statsfile_103" growShrinkType="overwriteClear" connectionId="1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pmu_statsfile_141" growShrinkType="overwriteClear" connectionId="2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pmu_statsfile_92" growShrinkType="overwriteClear" connectionId="3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pmu_statsfile_105" growShrinkType="overwriteClear" connectionId="2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pmu_statsfile_14" growShrinkType="overwriteClear" connectionId="6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pmu_statsfile_84" growShrinkType="overwriteClear" connectionId="5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pmu_statsfile_76" growShrinkType="overwriteClear" connectionId="4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pmu_statsfile_68" growShrinkType="overwriteClear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pmu_statsfile_71" growShrinkType="overwriteClear" connectionId="1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pmu_statsfile_111" growShrinkType="overwriteClear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pmu_statsfile_123" growShrinkType="overwriteClear" connectionId="2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pmu_statsfile_132" growShrinkType="overwriteClear" connectionId="1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pmu_statsfile_139" growShrinkType="overwriteClear" connectionId="2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pmu_statsfile_63" growShrinkType="overwriteClear" connectionId="10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pmu_statsfile_39" growShrinkType="overwriteClear" connectionId="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pmu_statsfile_25" growShrinkType="overwriteClear" connectionId="7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pmu_statsfile_104" growShrinkType="overwriteClear" connectionId="2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pmu_statsfile" growShrinkType="overwriteClear" connectionId="60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pmu_statsfile_114" growShrinkType="overwriteClear" connectionId="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pmu_statsfile_69" growShrinkType="overwriteClear" connectionId="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pmu_statsfile_10" growShrinkType="overwriteClear" connectionId="6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pmu_statsfile_18" growShrinkType="overwriteClear" connectionId="7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pmu_statsfile_48" growShrinkType="overwriteClear" connectionId="9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pmu_statsfile_66" growShrinkType="overwriteClear" connectionId="4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pmu_statsfile_34" growShrinkType="overwriteClear" connectionId="5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pmu_statsfile_138" growShrinkType="overwriteClear" connectionId="2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pmu_statsfile_32" growShrinkType="overwriteClear" connectionId="8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pmu_statsfile_64" growShrinkType="overwriteClear" connectionId="4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pmu_statsfile_19" growShrinkType="overwriteClear" connectionId="7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pmu_statsfile_78" growShrinkType="overwriteClear" connectionId="4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pmu_statsfile_42" growShrinkType="overwriteClear" connectionId="5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pmu_statsfile_5" growShrinkType="overwriteClear" connectionId="10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pmu_statsfile_119" growShrinkType="overwriteClear" connectionId="1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pmu_statsfile_130" growShrinkType="overwriteClear" connectionId="1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pmu_statsfile_52" growShrinkType="overwriteClear" connectionId="9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pmu_statsfile_6" growShrinkType="overwriteClear" connectionId="10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pmu_statsfile_33" growShrinkType="overwriteClear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pmu_statsfile_16" growShrinkType="overwriteClear" connectionId="6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pmu_statsfile_96" growShrinkType="overwriteClear" connectionId="3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pmu_statsfile_83" growShrinkType="overwriteClear" connectionId="5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pmu_statsfile_44" growShrinkType="overwriteClear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pmu_statsfile_38" growShrinkType="overwriteClear" connectionId="5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pmu_statsfile_90" growShrinkType="overwriteClear" connectionId="3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pmu_statsfile_70" growShrinkType="overwriteClear" connectionId="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pmu_statsfile_121" growShrinkType="overwriteClear" connectionId="2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pmu_statsfile_45" growShrinkType="overwriteClear" connectionId="58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pmu_statsfile_28" growShrinkType="overwriteClear" connectionId="7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pmu_statsfile_29" growShrinkType="overwriteClear" connectionId="8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pmu_statsfile_41" growShrinkType="overwriteClear" connectionId="8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pmu_statsfile_54" growShrinkType="overwriteClear" connectionId="9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pmu_statsfile_91" growShrinkType="overwriteClear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pmu_statsfile_35" growShrinkType="overwriteClear" connectionId="8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pmu_statsfile_15" growShrinkType="overwriteClear" connectionId="6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pmu_statsfile_94" growShrinkType="overwriteClear" connectionId="3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pmu_statsfile_125" growShrinkType="overwriteClear" connectionId="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pmu_statsfile_133" growShrinkType="overwriteClear" connectionId="1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pmu_statsfile_22" growShrinkType="overwriteClear" connectionId="7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pmu_statsfile_73" growShrinkType="overwriteClear" connectionId="4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pmu_statsfile_118" growShrinkType="overwriteClear" connectionId="1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pmu_statsfile_46" growShrinkType="overwriteClear" connectionId="8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pmu_statsfile_62" growShrinkType="overwriteClear" connectionId="4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pmu_statsfile_21" growShrinkType="overwriteClear" connectionId="7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pmu_statsfile_140" growShrinkType="overwriteClear" connectionId="2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pmu_statsfile_47" growShrinkType="overwriteClear" connectionId="9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pmu_statsfile_7" growShrinkType="overwriteClear" connectionId="11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pmu_statsfile_50" growShrinkType="overwriteClear" connectionId="9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pmu_statsfile_8" growShrinkType="overwriteClear" connectionId="11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pmu_statsfile_12" growShrinkType="overwriteClear" connectionId="6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pmu_statsfile_1" growShrinkType="overwriteClear" connectionId="6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pmu_statsfile_36" growShrinkType="overwriteClear" connectionId="5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pmu_statsfile_65" growShrinkType="overwriteClear" connectionId="4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pmu_statsfile_40" growShrinkType="overwriteClear" connectionId="5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pmu_statsfile_67" growShrinkType="overwriteClear" connectionId="10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pmu_statsfile_97" growShrinkType="overwriteClear" connectionId="3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pmu_statsfile_26" growShrinkType="overwriteClear" connectionId="77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pmu_statsfile_75" growShrinkType="overwriteClear" connectionId="4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pmu_statsfile_131" growShrinkType="overwriteClear" connectionId="15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pmu_statsfile_122" growShrinkType="overwriteClear" connectionId="2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pmu_statsfile_43" growShrinkType="overwriteClear" connectionId="5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pmu_statsfile_11" growShrinkType="overwriteClear" connectionId="6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pmu_statsfile_60" growShrinkType="overwriteClear" connectionId="102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pmu_statsfile_56" growShrinkType="overwriteClear" connectionId="59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pmu_statsfile_115" growShrinkType="overwriteClear" connectionId="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pmu_statsfile_17" growShrinkType="overwriteClear" connectionId="6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pmu_statsfile_3" growShrinkType="overwriteClear" connectionId="83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pmu_statsfile_9" growShrinkType="overwriteClear" connectionId="112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pmu_statsfile_20" growShrinkType="overwriteClear" connectionId="73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pmu_statsfile_58" growShrinkType="overwriteClear" connectionId="10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pmu_statsfile_53" growShrinkType="overwriteClear" connectionId="97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pmu_statsfile_51" growShrinkType="overwriteClear" connectionId="9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pmu_statsfile_116" growShrinkType="overwriteClear" connectionId="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pmu_statsfile_95" growShrinkType="overwriteClear" connectionId="3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pmu_statsfile_117" growShrinkType="overwriteClear" connectionId="9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pmu_statsfile_89" growShrinkType="overwriteClear" connectionId="3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pmu_statsfile_55" growShrinkType="overwriteClear" connectionId="99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pmu_statsfile_31" growShrinkType="overwriteClear" connectionId="39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pmu_statsfile_136" growShrinkType="overwriteClear" connectionId="18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pmu_statsfile_79" growShrinkType="overwriteClear" connectionId="108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pmu_statsfile_128" growShrinkType="overwriteClear" connectionId="13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pmu_statsfile_61" growShrinkType="overwriteClear" connectionId="103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pmu_statsfile_59" growShrinkType="overwriteClear" connectionId="4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pmu_statsfile_93" growShrinkType="overwriteClear" connectionId="33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pmu_statsfile_37" growShrinkType="overwriteClear" connectionId="85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pmu_statsfile_57" growShrinkType="overwriteClear" connectionId="100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pmu_statsfile_49" growShrinkType="overwriteClear" connectionId="9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0.xml"/><Relationship Id="rId117" Type="http://schemas.openxmlformats.org/officeDocument/2006/relationships/queryTable" Target="../queryTables/queryTable111.xml"/><Relationship Id="rId21" Type="http://schemas.openxmlformats.org/officeDocument/2006/relationships/queryTable" Target="../queryTables/queryTable15.xml"/><Relationship Id="rId42" Type="http://schemas.openxmlformats.org/officeDocument/2006/relationships/queryTable" Target="../queryTables/queryTable36.xml"/><Relationship Id="rId47" Type="http://schemas.openxmlformats.org/officeDocument/2006/relationships/queryTable" Target="../queryTables/queryTable41.xml"/><Relationship Id="rId63" Type="http://schemas.openxmlformats.org/officeDocument/2006/relationships/queryTable" Target="../queryTables/queryTable57.xml"/><Relationship Id="rId68" Type="http://schemas.openxmlformats.org/officeDocument/2006/relationships/queryTable" Target="../queryTables/queryTable62.xml"/><Relationship Id="rId84" Type="http://schemas.openxmlformats.org/officeDocument/2006/relationships/queryTable" Target="../queryTables/queryTable78.xml"/><Relationship Id="rId89" Type="http://schemas.openxmlformats.org/officeDocument/2006/relationships/queryTable" Target="../queryTables/queryTable83.xml"/><Relationship Id="rId112" Type="http://schemas.openxmlformats.org/officeDocument/2006/relationships/queryTable" Target="../queryTables/queryTable106.xml"/><Relationship Id="rId16" Type="http://schemas.openxmlformats.org/officeDocument/2006/relationships/queryTable" Target="../queryTables/queryTable10.xml"/><Relationship Id="rId107" Type="http://schemas.openxmlformats.org/officeDocument/2006/relationships/queryTable" Target="../queryTables/queryTable101.xml"/><Relationship Id="rId11" Type="http://schemas.openxmlformats.org/officeDocument/2006/relationships/queryTable" Target="../queryTables/queryTable5.xml"/><Relationship Id="rId24" Type="http://schemas.openxmlformats.org/officeDocument/2006/relationships/queryTable" Target="../queryTables/queryTable18.xml"/><Relationship Id="rId32" Type="http://schemas.openxmlformats.org/officeDocument/2006/relationships/queryTable" Target="../queryTables/queryTable26.xml"/><Relationship Id="rId37" Type="http://schemas.openxmlformats.org/officeDocument/2006/relationships/queryTable" Target="../queryTables/queryTable31.xml"/><Relationship Id="rId40" Type="http://schemas.openxmlformats.org/officeDocument/2006/relationships/queryTable" Target="../queryTables/queryTable34.xml"/><Relationship Id="rId45" Type="http://schemas.openxmlformats.org/officeDocument/2006/relationships/queryTable" Target="../queryTables/queryTable39.xml"/><Relationship Id="rId53" Type="http://schemas.openxmlformats.org/officeDocument/2006/relationships/queryTable" Target="../queryTables/queryTable47.xml"/><Relationship Id="rId58" Type="http://schemas.openxmlformats.org/officeDocument/2006/relationships/queryTable" Target="../queryTables/queryTable52.xml"/><Relationship Id="rId66" Type="http://schemas.openxmlformats.org/officeDocument/2006/relationships/queryTable" Target="../queryTables/queryTable60.xml"/><Relationship Id="rId74" Type="http://schemas.openxmlformats.org/officeDocument/2006/relationships/queryTable" Target="../queryTables/queryTable68.xml"/><Relationship Id="rId79" Type="http://schemas.openxmlformats.org/officeDocument/2006/relationships/queryTable" Target="../queryTables/queryTable73.xml"/><Relationship Id="rId87" Type="http://schemas.openxmlformats.org/officeDocument/2006/relationships/queryTable" Target="../queryTables/queryTable81.xml"/><Relationship Id="rId102" Type="http://schemas.openxmlformats.org/officeDocument/2006/relationships/queryTable" Target="../queryTables/queryTable96.xml"/><Relationship Id="rId110" Type="http://schemas.openxmlformats.org/officeDocument/2006/relationships/queryTable" Target="../queryTables/queryTable104.xml"/><Relationship Id="rId115" Type="http://schemas.openxmlformats.org/officeDocument/2006/relationships/queryTable" Target="../queryTables/queryTable109.xml"/><Relationship Id="rId5" Type="http://schemas.openxmlformats.org/officeDocument/2006/relationships/control" Target="../activeX/activeX1.xml"/><Relationship Id="rId61" Type="http://schemas.openxmlformats.org/officeDocument/2006/relationships/queryTable" Target="../queryTables/queryTable55.xml"/><Relationship Id="rId82" Type="http://schemas.openxmlformats.org/officeDocument/2006/relationships/queryTable" Target="../queryTables/queryTable76.xml"/><Relationship Id="rId90" Type="http://schemas.openxmlformats.org/officeDocument/2006/relationships/queryTable" Target="../queryTables/queryTable84.xml"/><Relationship Id="rId95" Type="http://schemas.openxmlformats.org/officeDocument/2006/relationships/queryTable" Target="../queryTables/queryTable89.xml"/><Relationship Id="rId19" Type="http://schemas.openxmlformats.org/officeDocument/2006/relationships/queryTable" Target="../queryTables/queryTable13.xml"/><Relationship Id="rId14" Type="http://schemas.openxmlformats.org/officeDocument/2006/relationships/queryTable" Target="../queryTables/queryTable8.xml"/><Relationship Id="rId22" Type="http://schemas.openxmlformats.org/officeDocument/2006/relationships/queryTable" Target="../queryTables/queryTable16.xml"/><Relationship Id="rId27" Type="http://schemas.openxmlformats.org/officeDocument/2006/relationships/queryTable" Target="../queryTables/queryTable21.xml"/><Relationship Id="rId30" Type="http://schemas.openxmlformats.org/officeDocument/2006/relationships/queryTable" Target="../queryTables/queryTable24.xml"/><Relationship Id="rId35" Type="http://schemas.openxmlformats.org/officeDocument/2006/relationships/queryTable" Target="../queryTables/queryTable29.xml"/><Relationship Id="rId43" Type="http://schemas.openxmlformats.org/officeDocument/2006/relationships/queryTable" Target="../queryTables/queryTable37.xml"/><Relationship Id="rId48" Type="http://schemas.openxmlformats.org/officeDocument/2006/relationships/queryTable" Target="../queryTables/queryTable42.xml"/><Relationship Id="rId56" Type="http://schemas.openxmlformats.org/officeDocument/2006/relationships/queryTable" Target="../queryTables/queryTable50.xml"/><Relationship Id="rId64" Type="http://schemas.openxmlformats.org/officeDocument/2006/relationships/queryTable" Target="../queryTables/queryTable58.xml"/><Relationship Id="rId69" Type="http://schemas.openxmlformats.org/officeDocument/2006/relationships/queryTable" Target="../queryTables/queryTable63.xml"/><Relationship Id="rId77" Type="http://schemas.openxmlformats.org/officeDocument/2006/relationships/queryTable" Target="../queryTables/queryTable71.xml"/><Relationship Id="rId100" Type="http://schemas.openxmlformats.org/officeDocument/2006/relationships/queryTable" Target="../queryTables/queryTable94.xml"/><Relationship Id="rId105" Type="http://schemas.openxmlformats.org/officeDocument/2006/relationships/queryTable" Target="../queryTables/queryTable99.xml"/><Relationship Id="rId113" Type="http://schemas.openxmlformats.org/officeDocument/2006/relationships/queryTable" Target="../queryTables/queryTable107.xml"/><Relationship Id="rId118" Type="http://schemas.openxmlformats.org/officeDocument/2006/relationships/queryTable" Target="../queryTables/queryTable112.xml"/><Relationship Id="rId8" Type="http://schemas.openxmlformats.org/officeDocument/2006/relationships/queryTable" Target="../queryTables/queryTable2.xml"/><Relationship Id="rId51" Type="http://schemas.openxmlformats.org/officeDocument/2006/relationships/queryTable" Target="../queryTables/queryTable45.xml"/><Relationship Id="rId72" Type="http://schemas.openxmlformats.org/officeDocument/2006/relationships/queryTable" Target="../queryTables/queryTable66.xml"/><Relationship Id="rId80" Type="http://schemas.openxmlformats.org/officeDocument/2006/relationships/queryTable" Target="../queryTables/queryTable74.xml"/><Relationship Id="rId85" Type="http://schemas.openxmlformats.org/officeDocument/2006/relationships/queryTable" Target="../queryTables/queryTable79.xml"/><Relationship Id="rId93" Type="http://schemas.openxmlformats.org/officeDocument/2006/relationships/queryTable" Target="../queryTables/queryTable87.xml"/><Relationship Id="rId98" Type="http://schemas.openxmlformats.org/officeDocument/2006/relationships/queryTable" Target="../queryTables/queryTable92.xml"/><Relationship Id="rId3" Type="http://schemas.openxmlformats.org/officeDocument/2006/relationships/drawing" Target="../drawings/drawing1.xml"/><Relationship Id="rId12" Type="http://schemas.openxmlformats.org/officeDocument/2006/relationships/queryTable" Target="../queryTables/queryTable6.xml"/><Relationship Id="rId17" Type="http://schemas.openxmlformats.org/officeDocument/2006/relationships/queryTable" Target="../queryTables/queryTable11.xml"/><Relationship Id="rId25" Type="http://schemas.openxmlformats.org/officeDocument/2006/relationships/queryTable" Target="../queryTables/queryTable19.xml"/><Relationship Id="rId33" Type="http://schemas.openxmlformats.org/officeDocument/2006/relationships/queryTable" Target="../queryTables/queryTable27.xml"/><Relationship Id="rId38" Type="http://schemas.openxmlformats.org/officeDocument/2006/relationships/queryTable" Target="../queryTables/queryTable32.xml"/><Relationship Id="rId46" Type="http://schemas.openxmlformats.org/officeDocument/2006/relationships/queryTable" Target="../queryTables/queryTable40.xml"/><Relationship Id="rId59" Type="http://schemas.openxmlformats.org/officeDocument/2006/relationships/queryTable" Target="../queryTables/queryTable53.xml"/><Relationship Id="rId67" Type="http://schemas.openxmlformats.org/officeDocument/2006/relationships/queryTable" Target="../queryTables/queryTable61.xml"/><Relationship Id="rId103" Type="http://schemas.openxmlformats.org/officeDocument/2006/relationships/queryTable" Target="../queryTables/queryTable97.xml"/><Relationship Id="rId108" Type="http://schemas.openxmlformats.org/officeDocument/2006/relationships/queryTable" Target="../queryTables/queryTable102.xml"/><Relationship Id="rId116" Type="http://schemas.openxmlformats.org/officeDocument/2006/relationships/queryTable" Target="../queryTables/queryTable110.xml"/><Relationship Id="rId20" Type="http://schemas.openxmlformats.org/officeDocument/2006/relationships/queryTable" Target="../queryTables/queryTable14.xml"/><Relationship Id="rId41" Type="http://schemas.openxmlformats.org/officeDocument/2006/relationships/queryTable" Target="../queryTables/queryTable35.xml"/><Relationship Id="rId54" Type="http://schemas.openxmlformats.org/officeDocument/2006/relationships/queryTable" Target="../queryTables/queryTable48.xml"/><Relationship Id="rId62" Type="http://schemas.openxmlformats.org/officeDocument/2006/relationships/queryTable" Target="../queryTables/queryTable56.xml"/><Relationship Id="rId70" Type="http://schemas.openxmlformats.org/officeDocument/2006/relationships/queryTable" Target="../queryTables/queryTable64.xml"/><Relationship Id="rId75" Type="http://schemas.openxmlformats.org/officeDocument/2006/relationships/queryTable" Target="../queryTables/queryTable69.xml"/><Relationship Id="rId83" Type="http://schemas.openxmlformats.org/officeDocument/2006/relationships/queryTable" Target="../queryTables/queryTable77.xml"/><Relationship Id="rId88" Type="http://schemas.openxmlformats.org/officeDocument/2006/relationships/queryTable" Target="../queryTables/queryTable82.xml"/><Relationship Id="rId91" Type="http://schemas.openxmlformats.org/officeDocument/2006/relationships/queryTable" Target="../queryTables/queryTable85.xml"/><Relationship Id="rId96" Type="http://schemas.openxmlformats.org/officeDocument/2006/relationships/queryTable" Target="../queryTables/queryTable90.xml"/><Relationship Id="rId111" Type="http://schemas.openxmlformats.org/officeDocument/2006/relationships/queryTable" Target="../queryTables/queryTable105.xml"/><Relationship Id="rId1" Type="http://schemas.openxmlformats.org/officeDocument/2006/relationships/hyperlink" Target="http://larch/gitbuilder/arch/pkg/v60_latest/doc/pmu.html" TargetMode="External"/><Relationship Id="rId6" Type="http://schemas.openxmlformats.org/officeDocument/2006/relationships/image" Target="../media/image1.emf"/><Relationship Id="rId15" Type="http://schemas.openxmlformats.org/officeDocument/2006/relationships/queryTable" Target="../queryTables/queryTable9.xml"/><Relationship Id="rId23" Type="http://schemas.openxmlformats.org/officeDocument/2006/relationships/queryTable" Target="../queryTables/queryTable17.xml"/><Relationship Id="rId28" Type="http://schemas.openxmlformats.org/officeDocument/2006/relationships/queryTable" Target="../queryTables/queryTable22.xml"/><Relationship Id="rId36" Type="http://schemas.openxmlformats.org/officeDocument/2006/relationships/queryTable" Target="../queryTables/queryTable30.xml"/><Relationship Id="rId49" Type="http://schemas.openxmlformats.org/officeDocument/2006/relationships/queryTable" Target="../queryTables/queryTable43.xml"/><Relationship Id="rId57" Type="http://schemas.openxmlformats.org/officeDocument/2006/relationships/queryTable" Target="../queryTables/queryTable51.xml"/><Relationship Id="rId106" Type="http://schemas.openxmlformats.org/officeDocument/2006/relationships/queryTable" Target="../queryTables/queryTable100.xml"/><Relationship Id="rId114" Type="http://schemas.openxmlformats.org/officeDocument/2006/relationships/queryTable" Target="../queryTables/queryTable108.xml"/><Relationship Id="rId10" Type="http://schemas.openxmlformats.org/officeDocument/2006/relationships/queryTable" Target="../queryTables/queryTable4.xml"/><Relationship Id="rId31" Type="http://schemas.openxmlformats.org/officeDocument/2006/relationships/queryTable" Target="../queryTables/queryTable25.xml"/><Relationship Id="rId44" Type="http://schemas.openxmlformats.org/officeDocument/2006/relationships/queryTable" Target="../queryTables/queryTable38.xml"/><Relationship Id="rId52" Type="http://schemas.openxmlformats.org/officeDocument/2006/relationships/queryTable" Target="../queryTables/queryTable46.xml"/><Relationship Id="rId60" Type="http://schemas.openxmlformats.org/officeDocument/2006/relationships/queryTable" Target="../queryTables/queryTable54.xml"/><Relationship Id="rId65" Type="http://schemas.openxmlformats.org/officeDocument/2006/relationships/queryTable" Target="../queryTables/queryTable59.xml"/><Relationship Id="rId73" Type="http://schemas.openxmlformats.org/officeDocument/2006/relationships/queryTable" Target="../queryTables/queryTable67.xml"/><Relationship Id="rId78" Type="http://schemas.openxmlformats.org/officeDocument/2006/relationships/queryTable" Target="../queryTables/queryTable72.xml"/><Relationship Id="rId81" Type="http://schemas.openxmlformats.org/officeDocument/2006/relationships/queryTable" Target="../queryTables/queryTable75.xml"/><Relationship Id="rId86" Type="http://schemas.openxmlformats.org/officeDocument/2006/relationships/queryTable" Target="../queryTables/queryTable80.xml"/><Relationship Id="rId94" Type="http://schemas.openxmlformats.org/officeDocument/2006/relationships/queryTable" Target="../queryTables/queryTable88.xml"/><Relationship Id="rId99" Type="http://schemas.openxmlformats.org/officeDocument/2006/relationships/queryTable" Target="../queryTables/queryTable93.xml"/><Relationship Id="rId101" Type="http://schemas.openxmlformats.org/officeDocument/2006/relationships/queryTable" Target="../queryTables/queryTable95.xml"/><Relationship Id="rId4" Type="http://schemas.openxmlformats.org/officeDocument/2006/relationships/vmlDrawing" Target="../drawings/vmlDrawing1.vml"/><Relationship Id="rId9" Type="http://schemas.openxmlformats.org/officeDocument/2006/relationships/queryTable" Target="../queryTables/queryTable3.xml"/><Relationship Id="rId13" Type="http://schemas.openxmlformats.org/officeDocument/2006/relationships/queryTable" Target="../queryTables/queryTable7.xml"/><Relationship Id="rId18" Type="http://schemas.openxmlformats.org/officeDocument/2006/relationships/queryTable" Target="../queryTables/queryTable12.xml"/><Relationship Id="rId39" Type="http://schemas.openxmlformats.org/officeDocument/2006/relationships/queryTable" Target="../queryTables/queryTable33.xml"/><Relationship Id="rId109" Type="http://schemas.openxmlformats.org/officeDocument/2006/relationships/queryTable" Target="../queryTables/queryTable103.xml"/><Relationship Id="rId34" Type="http://schemas.openxmlformats.org/officeDocument/2006/relationships/queryTable" Target="../queryTables/queryTable28.xml"/><Relationship Id="rId50" Type="http://schemas.openxmlformats.org/officeDocument/2006/relationships/queryTable" Target="../queryTables/queryTable44.xml"/><Relationship Id="rId55" Type="http://schemas.openxmlformats.org/officeDocument/2006/relationships/queryTable" Target="../queryTables/queryTable49.xml"/><Relationship Id="rId76" Type="http://schemas.openxmlformats.org/officeDocument/2006/relationships/queryTable" Target="../queryTables/queryTable70.xml"/><Relationship Id="rId97" Type="http://schemas.openxmlformats.org/officeDocument/2006/relationships/queryTable" Target="../queryTables/queryTable91.xml"/><Relationship Id="rId104" Type="http://schemas.openxmlformats.org/officeDocument/2006/relationships/queryTable" Target="../queryTables/queryTable98.xml"/><Relationship Id="rId7" Type="http://schemas.openxmlformats.org/officeDocument/2006/relationships/queryTable" Target="../queryTables/queryTable1.xml"/><Relationship Id="rId71" Type="http://schemas.openxmlformats.org/officeDocument/2006/relationships/queryTable" Target="../queryTables/queryTable65.xml"/><Relationship Id="rId92" Type="http://schemas.openxmlformats.org/officeDocument/2006/relationships/queryTable" Target="../queryTables/queryTable86.xml"/><Relationship Id="rId2" Type="http://schemas.openxmlformats.org/officeDocument/2006/relationships/printerSettings" Target="../printerSettings/printerSettings1.bin"/><Relationship Id="rId29" Type="http://schemas.openxmlformats.org/officeDocument/2006/relationships/queryTable" Target="../queryTables/query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C5"/>
  <sheetViews>
    <sheetView workbookViewId="0">
      <selection activeCell="C5" sqref="C5"/>
    </sheetView>
  </sheetViews>
  <sheetFormatPr defaultRowHeight="12.75" x14ac:dyDescent="0.2"/>
  <cols>
    <col min="1" max="1" width="10.85546875" bestFit="1" customWidth="1"/>
    <col min="3" max="3" width="116.28515625" customWidth="1"/>
  </cols>
  <sheetData>
    <row r="2" spans="1:3" x14ac:dyDescent="0.2">
      <c r="A2" t="s">
        <v>118</v>
      </c>
    </row>
    <row r="3" spans="1:3" x14ac:dyDescent="0.2">
      <c r="A3" s="31">
        <v>41859</v>
      </c>
      <c r="C3" t="s">
        <v>119</v>
      </c>
    </row>
    <row r="4" spans="1:3" x14ac:dyDescent="0.2">
      <c r="A4" s="31"/>
    </row>
    <row r="5" spans="1:3" x14ac:dyDescent="0.2">
      <c r="A5" s="31">
        <v>42023</v>
      </c>
      <c r="C5" t="s">
        <v>584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adPmuStatsButton"/>
  <dimension ref="A1:M268"/>
  <sheetViews>
    <sheetView tabSelected="1" zoomScale="80" zoomScaleNormal="80" workbookViewId="0">
      <pane ySplit="2" topLeftCell="A3" activePane="bottomLeft" state="frozen"/>
      <selection pane="bottomLeft" activeCell="D167" sqref="D167"/>
    </sheetView>
  </sheetViews>
  <sheetFormatPr defaultRowHeight="12.75" x14ac:dyDescent="0.2"/>
  <cols>
    <col min="1" max="1" width="10.140625" style="17" customWidth="1"/>
    <col min="2" max="2" width="37.28515625" style="17" customWidth="1"/>
    <col min="3" max="3" width="7.7109375" style="18" customWidth="1"/>
    <col min="4" max="4" width="3.5703125" style="1" customWidth="1"/>
    <col min="5" max="5" width="26.140625" style="2" bestFit="1" customWidth="1"/>
    <col min="6" max="6" width="5.140625" style="3" bestFit="1" customWidth="1"/>
    <col min="7" max="7" width="17" style="13" bestFit="1" customWidth="1"/>
    <col min="8" max="8" width="8.7109375" style="11" customWidth="1"/>
    <col min="9" max="9" width="8.28515625" style="11" customWidth="1"/>
    <col min="10" max="10" width="13" style="11" customWidth="1"/>
    <col min="11" max="11" width="2.42578125" style="11" customWidth="1"/>
    <col min="12" max="12" width="83.7109375" style="12" bestFit="1" customWidth="1"/>
    <col min="13" max="16384" width="9.140625" style="1"/>
  </cols>
  <sheetData>
    <row r="1" spans="1:12" ht="28.5" customHeight="1" x14ac:dyDescent="0.2">
      <c r="A1" s="50" t="s">
        <v>124</v>
      </c>
      <c r="B1" s="50"/>
      <c r="C1" s="50"/>
      <c r="D1" s="35"/>
      <c r="E1" s="49" t="s">
        <v>132</v>
      </c>
      <c r="F1" s="49"/>
      <c r="G1" s="49"/>
      <c r="H1" s="49"/>
      <c r="I1" s="49"/>
      <c r="J1" s="49"/>
      <c r="K1" s="49"/>
      <c r="L1" s="49"/>
    </row>
    <row r="2" spans="1:12" s="26" customFormat="1" ht="39" thickBot="1" x14ac:dyDescent="0.25">
      <c r="A2" s="24" t="s">
        <v>108</v>
      </c>
      <c r="B2" s="24" t="s">
        <v>109</v>
      </c>
      <c r="C2" s="25" t="s">
        <v>110</v>
      </c>
      <c r="E2" s="30" t="s">
        <v>107</v>
      </c>
      <c r="F2" s="27"/>
      <c r="G2" s="28" t="s">
        <v>20</v>
      </c>
      <c r="H2" s="29" t="s">
        <v>11</v>
      </c>
      <c r="I2" s="29" t="s">
        <v>26</v>
      </c>
      <c r="J2" s="29" t="s">
        <v>12</v>
      </c>
      <c r="K2" s="29"/>
      <c r="L2" s="29" t="s">
        <v>15</v>
      </c>
    </row>
    <row r="3" spans="1:12" ht="13.5" thickTop="1" x14ac:dyDescent="0.2">
      <c r="A3" s="15"/>
      <c r="B3" s="15"/>
      <c r="C3" s="16"/>
      <c r="G3" s="4"/>
      <c r="H3" s="5"/>
      <c r="I3" s="5"/>
      <c r="J3" s="5"/>
      <c r="K3" s="5"/>
      <c r="L3" s="21"/>
    </row>
    <row r="4" spans="1:12" x14ac:dyDescent="0.2">
      <c r="E4" s="6" t="s">
        <v>238</v>
      </c>
      <c r="F4" s="7"/>
      <c r="G4" s="8">
        <v>9271632</v>
      </c>
      <c r="H4" s="9"/>
      <c r="I4" s="9"/>
      <c r="J4" s="9"/>
      <c r="K4" s="9"/>
      <c r="L4" s="23"/>
    </row>
    <row r="5" spans="1:12" x14ac:dyDescent="0.2">
      <c r="A5" t="s">
        <v>27</v>
      </c>
      <c r="B5" t="s">
        <v>417</v>
      </c>
      <c r="C5">
        <v>0</v>
      </c>
      <c r="E5" s="2" t="s">
        <v>1</v>
      </c>
      <c r="F5" s="3" t="s">
        <v>23</v>
      </c>
      <c r="G5" s="13">
        <f>SUM(G24:G27)</f>
        <v>750579</v>
      </c>
      <c r="H5" s="19"/>
      <c r="I5" s="19"/>
      <c r="J5" s="19"/>
      <c r="K5" s="19"/>
      <c r="L5" s="12" t="s">
        <v>19</v>
      </c>
    </row>
    <row r="6" spans="1:12" x14ac:dyDescent="0.2">
      <c r="A6" t="s">
        <v>28</v>
      </c>
      <c r="B6" t="s">
        <v>418</v>
      </c>
      <c r="C6">
        <v>0</v>
      </c>
      <c r="E6" s="2" t="s">
        <v>0</v>
      </c>
      <c r="F6" s="3" t="s">
        <v>29</v>
      </c>
      <c r="G6" s="13">
        <f>INDEX(C$2:C$1001, MATCH("*"&amp;F6&amp;"*",A$2:A$1001,0))</f>
        <v>137005</v>
      </c>
      <c r="H6" s="10">
        <f t="shared" ref="H6" si="0">G6/G$6</f>
        <v>1</v>
      </c>
      <c r="I6" s="10"/>
      <c r="J6" s="10"/>
      <c r="L6" s="12" t="s">
        <v>95</v>
      </c>
    </row>
    <row r="7" spans="1:12" x14ac:dyDescent="0.2">
      <c r="A7" t="s">
        <v>29</v>
      </c>
      <c r="B7" t="s">
        <v>419</v>
      </c>
      <c r="C7">
        <v>137005</v>
      </c>
      <c r="E7" s="2" t="s">
        <v>306</v>
      </c>
      <c r="G7" s="13">
        <f>G5-G9-G8</f>
        <v>613574</v>
      </c>
      <c r="H7" s="11">
        <f>G7/G$6</f>
        <v>4.4784788876318382</v>
      </c>
      <c r="J7" s="40">
        <f>G7/G$5</f>
        <v>0.81746758169359923</v>
      </c>
    </row>
    <row r="8" spans="1:12" x14ac:dyDescent="0.2">
      <c r="A8" t="s">
        <v>30</v>
      </c>
      <c r="B8" t="s">
        <v>420</v>
      </c>
      <c r="C8">
        <v>53814</v>
      </c>
      <c r="E8" s="2" t="s">
        <v>287</v>
      </c>
      <c r="G8" s="13">
        <f>G6-2*G9</f>
        <v>137005</v>
      </c>
      <c r="H8" s="10">
        <f>G8/G$6</f>
        <v>1</v>
      </c>
      <c r="I8" s="10"/>
      <c r="J8" s="40">
        <f>G8/G$5</f>
        <v>0.1825324183064008</v>
      </c>
      <c r="K8" s="19"/>
      <c r="L8" s="12" t="s">
        <v>194</v>
      </c>
    </row>
    <row r="9" spans="1:12" x14ac:dyDescent="0.2">
      <c r="A9" t="s">
        <v>133</v>
      </c>
      <c r="B9" t="s">
        <v>421</v>
      </c>
      <c r="C9">
        <v>0</v>
      </c>
      <c r="E9" s="2" t="s">
        <v>286</v>
      </c>
      <c r="F9" s="3" t="s">
        <v>136</v>
      </c>
      <c r="G9" s="13">
        <f>INDEX(C$2:C$1001, MATCH("*"&amp;F9&amp;"*",A$2:A$1001,0))</f>
        <v>0</v>
      </c>
      <c r="H9" s="10">
        <f>G9/G$6</f>
        <v>0</v>
      </c>
      <c r="I9" s="10"/>
      <c r="J9" s="40">
        <f>G9/G$5</f>
        <v>0</v>
      </c>
      <c r="K9" s="19"/>
      <c r="L9" s="12" t="s">
        <v>194</v>
      </c>
    </row>
    <row r="10" spans="1:12" x14ac:dyDescent="0.2">
      <c r="A10" t="s">
        <v>134</v>
      </c>
      <c r="B10" t="s">
        <v>422</v>
      </c>
      <c r="C10">
        <v>0</v>
      </c>
      <c r="E10" s="2" t="s">
        <v>232</v>
      </c>
      <c r="F10" s="3" t="s">
        <v>30</v>
      </c>
      <c r="G10" s="13">
        <f>INDEX(C$2:C$1001, MATCH("*"&amp;F10&amp;"*",A$2:A$1001,0))</f>
        <v>53814</v>
      </c>
      <c r="H10" s="10">
        <f>G10/G$6</f>
        <v>0.3927885843582351</v>
      </c>
      <c r="I10" s="10"/>
      <c r="J10" s="10"/>
      <c r="K10" s="19"/>
      <c r="L10" s="12" t="s">
        <v>96</v>
      </c>
    </row>
    <row r="11" spans="1:12" x14ac:dyDescent="0.2">
      <c r="A11" t="s">
        <v>135</v>
      </c>
      <c r="B11" t="s">
        <v>423</v>
      </c>
      <c r="C11">
        <v>39344</v>
      </c>
      <c r="E11" s="2" t="s">
        <v>192</v>
      </c>
      <c r="F11" s="3" t="s">
        <v>135</v>
      </c>
      <c r="G11" s="13">
        <f>INDEX(C$2:C$1001, MATCH("*"&amp;F11&amp;"*",A$2:A$1001,0))</f>
        <v>39344</v>
      </c>
      <c r="H11" s="10">
        <f>G11/G$6</f>
        <v>0.28717200102186052</v>
      </c>
      <c r="I11" s="10"/>
      <c r="J11" s="41"/>
      <c r="K11" s="19"/>
      <c r="L11" s="12" t="s">
        <v>193</v>
      </c>
    </row>
    <row r="12" spans="1:12" x14ac:dyDescent="0.2">
      <c r="A12" t="s">
        <v>136</v>
      </c>
      <c r="B12" t="s">
        <v>424</v>
      </c>
      <c r="C12">
        <v>0</v>
      </c>
      <c r="E12" s="2" t="s">
        <v>582</v>
      </c>
      <c r="G12" s="10">
        <f>G5/G6</f>
        <v>5.4784788876318382</v>
      </c>
      <c r="H12" s="19"/>
      <c r="I12" s="42"/>
      <c r="J12" s="19"/>
      <c r="K12" s="19"/>
      <c r="L12" s="12" t="s">
        <v>233</v>
      </c>
    </row>
    <row r="13" spans="1:12" x14ac:dyDescent="0.2">
      <c r="A13" t="s">
        <v>31</v>
      </c>
      <c r="B13" t="s">
        <v>425</v>
      </c>
      <c r="C13">
        <v>0</v>
      </c>
      <c r="E13" s="2" t="s">
        <v>583</v>
      </c>
      <c r="G13" s="10">
        <f>(G31+G40*2)/G5</f>
        <v>0.39783287302202702</v>
      </c>
      <c r="L13" s="12" t="s">
        <v>410</v>
      </c>
    </row>
    <row r="14" spans="1:12" x14ac:dyDescent="0.2">
      <c r="A14" t="s">
        <v>32</v>
      </c>
      <c r="B14" t="s">
        <v>426</v>
      </c>
      <c r="C14">
        <v>4368</v>
      </c>
      <c r="E14" s="2" t="s">
        <v>22</v>
      </c>
      <c r="G14" s="10">
        <f>(G31)/G6</f>
        <v>2.1333309003321048</v>
      </c>
      <c r="L14" s="12" t="s">
        <v>411</v>
      </c>
    </row>
    <row r="15" spans="1:12" x14ac:dyDescent="0.2">
      <c r="A15" t="s">
        <v>33</v>
      </c>
      <c r="B15" t="s">
        <v>427</v>
      </c>
      <c r="C15">
        <v>157</v>
      </c>
      <c r="E15" s="2" t="s">
        <v>237</v>
      </c>
      <c r="G15" s="10">
        <f>(G24/3 + 2*G25/3 + G26 + G27)/G6</f>
        <v>1.8261596292106128</v>
      </c>
      <c r="L15" s="12" t="s">
        <v>234</v>
      </c>
    </row>
    <row r="16" spans="1:12" x14ac:dyDescent="0.2">
      <c r="A16" t="s">
        <v>34</v>
      </c>
      <c r="B16" t="s">
        <v>428</v>
      </c>
      <c r="C16">
        <v>0</v>
      </c>
      <c r="E16" s="2" t="s">
        <v>236</v>
      </c>
      <c r="G16" s="10">
        <f>(G24/2 + G25 + G26 + G27)/G6</f>
        <v>2.7392394438159191</v>
      </c>
      <c r="L16" s="12" t="s">
        <v>235</v>
      </c>
    </row>
    <row r="17" spans="1:12" x14ac:dyDescent="0.2">
      <c r="A17" t="s">
        <v>35</v>
      </c>
      <c r="B17" t="s">
        <v>429</v>
      </c>
      <c r="C17">
        <v>323712</v>
      </c>
      <c r="E17" s="2" t="s">
        <v>240</v>
      </c>
      <c r="F17" s="3" t="s">
        <v>137</v>
      </c>
      <c r="G17" s="10">
        <f>IF(G27,G27/INDEX(C$2:C$1001,MATCH("*"&amp;F17&amp;"*",A$2:A$1001,0)),0)</f>
        <v>0</v>
      </c>
      <c r="L17" s="12" t="s">
        <v>239</v>
      </c>
    </row>
    <row r="18" spans="1:12" x14ac:dyDescent="0.2">
      <c r="A18" t="s">
        <v>205</v>
      </c>
      <c r="B18" t="s">
        <v>430</v>
      </c>
      <c r="C18">
        <v>167275</v>
      </c>
      <c r="E18" s="2" t="s">
        <v>241</v>
      </c>
      <c r="F18" s="3" t="s">
        <v>40</v>
      </c>
      <c r="G18" s="10">
        <f>IF(G26,G26/INDEX(C$2:C$1001,MATCH("*"&amp;F18&amp;"*",A$2:A$1001,0)),0)</f>
        <v>0</v>
      </c>
      <c r="L18" s="12" t="s">
        <v>244</v>
      </c>
    </row>
    <row r="19" spans="1:12" x14ac:dyDescent="0.2">
      <c r="A19" t="s">
        <v>206</v>
      </c>
      <c r="B19" t="s">
        <v>431</v>
      </c>
      <c r="C19">
        <v>25599</v>
      </c>
      <c r="E19" s="2" t="s">
        <v>242</v>
      </c>
      <c r="F19" s="3" t="s">
        <v>39</v>
      </c>
      <c r="G19" s="10">
        <f>IF(G25,G25/INDEX(C$2:C$1001,MATCH("*"&amp;F19&amp;"*",A$2:A$1001,0)),0)</f>
        <v>0</v>
      </c>
      <c r="L19" s="12" t="s">
        <v>245</v>
      </c>
    </row>
    <row r="20" spans="1:12" x14ac:dyDescent="0.2">
      <c r="A20" t="s">
        <v>207</v>
      </c>
      <c r="B20" t="s">
        <v>432</v>
      </c>
      <c r="C20">
        <v>4006</v>
      </c>
      <c r="E20" s="2" t="s">
        <v>243</v>
      </c>
      <c r="F20" s="3" t="s">
        <v>38</v>
      </c>
      <c r="G20" s="10">
        <f>IF(G24,G24/INDEX(C$2:C$1001,MATCH("*"&amp;F20&amp;"*",A$2:A$1001,0)),0)</f>
        <v>5.4785188753613037</v>
      </c>
      <c r="L20" s="12" t="s">
        <v>373</v>
      </c>
    </row>
    <row r="21" spans="1:12" x14ac:dyDescent="0.2">
      <c r="A21" t="s">
        <v>208</v>
      </c>
      <c r="B21" t="s">
        <v>433</v>
      </c>
      <c r="C21">
        <v>92982</v>
      </c>
    </row>
    <row r="22" spans="1:12" x14ac:dyDescent="0.2">
      <c r="A22" t="s">
        <v>209</v>
      </c>
      <c r="B22" t="s">
        <v>434</v>
      </c>
      <c r="C22">
        <v>0</v>
      </c>
      <c r="E22" s="6" t="s">
        <v>24</v>
      </c>
      <c r="F22" s="14"/>
      <c r="G22" s="8"/>
      <c r="H22" s="20"/>
      <c r="I22" s="20"/>
      <c r="J22" s="20"/>
      <c r="K22" s="20"/>
      <c r="L22" s="23"/>
    </row>
    <row r="23" spans="1:12" x14ac:dyDescent="0.2">
      <c r="A23" t="s">
        <v>210</v>
      </c>
      <c r="B23" t="s">
        <v>435</v>
      </c>
      <c r="C23">
        <v>0</v>
      </c>
      <c r="E23" s="2" t="s">
        <v>21</v>
      </c>
      <c r="G23" s="13">
        <f>G5-G26-G25-G24-G27</f>
        <v>0</v>
      </c>
      <c r="J23" s="19">
        <f>G23/$G$5</f>
        <v>0</v>
      </c>
      <c r="L23" s="12" t="s">
        <v>106</v>
      </c>
    </row>
    <row r="24" spans="1:12" x14ac:dyDescent="0.2">
      <c r="A24" t="s">
        <v>36</v>
      </c>
      <c r="B24" t="s">
        <v>436</v>
      </c>
      <c r="C24">
        <v>2793</v>
      </c>
      <c r="E24" s="2" t="s">
        <v>2</v>
      </c>
      <c r="F24" s="3" t="s">
        <v>48</v>
      </c>
      <c r="G24" s="13">
        <f>INDEX(C$2:C$1001, MATCH("*"&amp;F24&amp;"*",A$2:A$1001,0))</f>
        <v>750579</v>
      </c>
      <c r="H24" s="19"/>
      <c r="I24" s="19"/>
      <c r="J24" s="19">
        <f>G24/$G$5</f>
        <v>1</v>
      </c>
      <c r="K24" s="19"/>
      <c r="L24" s="12" t="s">
        <v>16</v>
      </c>
    </row>
    <row r="25" spans="1:12" x14ac:dyDescent="0.2">
      <c r="A25" t="s">
        <v>37</v>
      </c>
      <c r="B25" t="s">
        <v>437</v>
      </c>
      <c r="C25">
        <v>586</v>
      </c>
      <c r="E25" s="2" t="s">
        <v>3</v>
      </c>
      <c r="F25" s="3" t="s">
        <v>49</v>
      </c>
      <c r="G25" s="13">
        <f>INDEX(C$2:C$1001, MATCH("*"&amp;F25&amp;"*",A$2:A$1001,0))</f>
        <v>0</v>
      </c>
      <c r="H25" s="19"/>
      <c r="I25" s="19"/>
      <c r="J25" s="19">
        <f>G25/$G$5</f>
        <v>0</v>
      </c>
      <c r="K25" s="19"/>
      <c r="L25" s="12" t="s">
        <v>17</v>
      </c>
    </row>
    <row r="26" spans="1:12" x14ac:dyDescent="0.2">
      <c r="A26" t="s">
        <v>371</v>
      </c>
      <c r="B26" t="s">
        <v>438</v>
      </c>
      <c r="C26">
        <v>0</v>
      </c>
      <c r="E26" s="2" t="s">
        <v>4</v>
      </c>
      <c r="F26" s="3" t="s">
        <v>50</v>
      </c>
      <c r="G26" s="13">
        <f>INDEX(C$2:C$1001, MATCH("*"&amp;F26&amp;"*",A$2:A$1001,0))</f>
        <v>0</v>
      </c>
      <c r="H26" s="19"/>
      <c r="I26" s="19"/>
      <c r="J26" s="19">
        <f>G26/$G$5</f>
        <v>0</v>
      </c>
      <c r="K26" s="19"/>
      <c r="L26" s="12" t="s">
        <v>18</v>
      </c>
    </row>
    <row r="27" spans="1:12" x14ac:dyDescent="0.2">
      <c r="A27" t="s">
        <v>38</v>
      </c>
      <c r="B27" t="s">
        <v>439</v>
      </c>
      <c r="C27">
        <v>137004</v>
      </c>
      <c r="E27" s="2" t="s">
        <v>121</v>
      </c>
      <c r="F27" s="3" t="s">
        <v>122</v>
      </c>
      <c r="G27" s="13">
        <f>INDEX(C$2:C$1001, MATCH("*"&amp;F27&amp;"*",A$2:A$1001,0))</f>
        <v>0</v>
      </c>
      <c r="J27" s="19">
        <f>G27/$G$5</f>
        <v>0</v>
      </c>
      <c r="L27" s="12" t="s">
        <v>123</v>
      </c>
    </row>
    <row r="28" spans="1:12" x14ac:dyDescent="0.2">
      <c r="A28" t="s">
        <v>39</v>
      </c>
      <c r="B28" t="s">
        <v>440</v>
      </c>
      <c r="C28">
        <v>0</v>
      </c>
      <c r="E28" s="2" t="s">
        <v>24</v>
      </c>
      <c r="G28" s="10">
        <f>(G24+G25*2+G26*3+G27*4)/G5</f>
        <v>1</v>
      </c>
      <c r="H28" s="19"/>
      <c r="I28" s="19"/>
      <c r="J28" s="19"/>
      <c r="K28" s="19"/>
      <c r="L28" s="12" t="s">
        <v>93</v>
      </c>
    </row>
    <row r="29" spans="1:12" x14ac:dyDescent="0.2">
      <c r="A29" t="s">
        <v>40</v>
      </c>
      <c r="B29" t="s">
        <v>441</v>
      </c>
      <c r="C29">
        <v>0</v>
      </c>
      <c r="G29" s="45"/>
    </row>
    <row r="30" spans="1:12" x14ac:dyDescent="0.2">
      <c r="A30" t="s">
        <v>41</v>
      </c>
      <c r="B30" t="s">
        <v>442</v>
      </c>
      <c r="C30">
        <v>292277</v>
      </c>
      <c r="E30" s="6" t="s">
        <v>246</v>
      </c>
      <c r="F30" s="14"/>
      <c r="G30" s="8"/>
      <c r="H30" s="20"/>
      <c r="I30" s="20"/>
      <c r="J30" s="20"/>
      <c r="K30" s="20"/>
      <c r="L30" s="23"/>
    </row>
    <row r="31" spans="1:12" x14ac:dyDescent="0.2">
      <c r="A31" t="s">
        <v>370</v>
      </c>
      <c r="B31" t="s">
        <v>443</v>
      </c>
      <c r="C31">
        <v>107388</v>
      </c>
      <c r="E31" s="2" t="s">
        <v>25</v>
      </c>
      <c r="F31" s="3" t="s">
        <v>41</v>
      </c>
      <c r="G31" s="13">
        <f t="shared" ref="G31:G38" si="1">INDEX(C$2:C$1001, MATCH("*"&amp;F31&amp;"*",A$2:A$1001,0))</f>
        <v>292277</v>
      </c>
      <c r="H31" s="10">
        <f t="shared" ref="H31:H34" si="2">G31/G$6</f>
        <v>2.1333309003321048</v>
      </c>
      <c r="I31" s="43"/>
      <c r="J31" s="10"/>
      <c r="L31" s="12" t="s">
        <v>94</v>
      </c>
    </row>
    <row r="32" spans="1:12" x14ac:dyDescent="0.2">
      <c r="A32" t="s">
        <v>415</v>
      </c>
      <c r="B32" t="s">
        <v>444</v>
      </c>
      <c r="C32">
        <v>107388</v>
      </c>
      <c r="E32" s="2" t="s">
        <v>13</v>
      </c>
      <c r="F32" s="3" t="s">
        <v>42</v>
      </c>
      <c r="G32" s="13">
        <f t="shared" si="1"/>
        <v>45494</v>
      </c>
      <c r="H32" s="10">
        <f t="shared" si="2"/>
        <v>0.33206087369074122</v>
      </c>
      <c r="I32" s="19">
        <f t="shared" ref="I32:I35" si="3">G32/G$31</f>
        <v>0.15565371206081902</v>
      </c>
      <c r="J32" s="10"/>
      <c r="K32" s="19"/>
      <c r="L32" s="12" t="s">
        <v>228</v>
      </c>
    </row>
    <row r="33" spans="1:12" x14ac:dyDescent="0.2">
      <c r="A33" t="s">
        <v>137</v>
      </c>
      <c r="B33" t="s">
        <v>445</v>
      </c>
      <c r="C33">
        <v>0</v>
      </c>
      <c r="E33" s="2" t="s">
        <v>14</v>
      </c>
      <c r="F33" s="3" t="s">
        <v>43</v>
      </c>
      <c r="G33" s="13">
        <f t="shared" si="1"/>
        <v>28306</v>
      </c>
      <c r="H33" s="10">
        <f t="shared" si="2"/>
        <v>0.20660559833582717</v>
      </c>
      <c r="I33" s="19">
        <f t="shared" si="3"/>
        <v>9.6846484670364066E-2</v>
      </c>
      <c r="J33" s="10"/>
      <c r="K33" s="19"/>
      <c r="L33" s="12" t="s">
        <v>229</v>
      </c>
    </row>
    <row r="34" spans="1:12" x14ac:dyDescent="0.2">
      <c r="A34" t="s">
        <v>42</v>
      </c>
      <c r="B34" t="s">
        <v>446</v>
      </c>
      <c r="C34">
        <v>45494</v>
      </c>
      <c r="E34" s="2" t="s">
        <v>227</v>
      </c>
      <c r="F34" s="3" t="s">
        <v>44</v>
      </c>
      <c r="G34" s="13">
        <f t="shared" si="1"/>
        <v>603</v>
      </c>
      <c r="H34" s="10">
        <f t="shared" si="2"/>
        <v>4.4012992226561071E-3</v>
      </c>
      <c r="I34" s="19">
        <f t="shared" si="3"/>
        <v>2.0631113635352764E-3</v>
      </c>
      <c r="J34" s="10"/>
      <c r="K34" s="19"/>
      <c r="L34" s="12" t="s">
        <v>230</v>
      </c>
    </row>
    <row r="35" spans="1:12" x14ac:dyDescent="0.2">
      <c r="A35" t="s">
        <v>43</v>
      </c>
      <c r="B35" t="s">
        <v>447</v>
      </c>
      <c r="C35">
        <v>28306</v>
      </c>
      <c r="E35" s="2" t="s">
        <v>578</v>
      </c>
      <c r="F35" s="48" t="s">
        <v>370</v>
      </c>
      <c r="G35" s="13">
        <f t="shared" si="1"/>
        <v>107388</v>
      </c>
      <c r="H35" s="10">
        <f t="shared" ref="H35:H36" si="4">G35/G$6</f>
        <v>0.78382540783183097</v>
      </c>
      <c r="I35" s="19">
        <f t="shared" si="3"/>
        <v>0.36741857895078983</v>
      </c>
      <c r="J35" s="10"/>
      <c r="K35" s="19"/>
      <c r="L35" s="12" t="s">
        <v>577</v>
      </c>
    </row>
    <row r="36" spans="1:12" x14ac:dyDescent="0.2">
      <c r="A36" t="s">
        <v>44</v>
      </c>
      <c r="B36" t="s">
        <v>448</v>
      </c>
      <c r="C36">
        <v>603</v>
      </c>
      <c r="E36" s="2" t="s">
        <v>579</v>
      </c>
      <c r="F36" s="3" t="s">
        <v>191</v>
      </c>
      <c r="G36" s="13">
        <f t="shared" si="1"/>
        <v>0</v>
      </c>
      <c r="H36" s="10">
        <f t="shared" si="4"/>
        <v>0</v>
      </c>
      <c r="I36" s="19">
        <f t="shared" ref="I36" si="5">G36/G$31</f>
        <v>0</v>
      </c>
      <c r="J36" s="10"/>
      <c r="K36" s="19"/>
      <c r="L36" s="12" t="s">
        <v>581</v>
      </c>
    </row>
    <row r="37" spans="1:12" x14ac:dyDescent="0.2">
      <c r="A37" t="s">
        <v>45</v>
      </c>
      <c r="B37" t="s">
        <v>449</v>
      </c>
      <c r="C37">
        <v>69741</v>
      </c>
      <c r="E37" s="2" t="s">
        <v>580</v>
      </c>
      <c r="F37" s="3" t="s">
        <v>189</v>
      </c>
      <c r="G37" s="13">
        <f t="shared" si="1"/>
        <v>0</v>
      </c>
      <c r="H37" s="10">
        <f t="shared" ref="H37" si="6">G37/G$6</f>
        <v>0</v>
      </c>
      <c r="I37" s="19">
        <f t="shared" ref="I37" si="7">G37/G$31</f>
        <v>0</v>
      </c>
      <c r="J37" s="10"/>
      <c r="K37" s="19"/>
      <c r="L37" s="12" t="s">
        <v>581</v>
      </c>
    </row>
    <row r="38" spans="1:12" x14ac:dyDescent="0.2">
      <c r="A38" t="s">
        <v>46</v>
      </c>
      <c r="B38" t="s">
        <v>450</v>
      </c>
      <c r="C38">
        <v>46107</v>
      </c>
      <c r="E38" s="2" t="s">
        <v>250</v>
      </c>
      <c r="F38" s="3" t="s">
        <v>61</v>
      </c>
      <c r="G38" s="13">
        <f t="shared" si="1"/>
        <v>38820</v>
      </c>
      <c r="H38" s="10">
        <f t="shared" ref="H38:H43" si="8">G38/G$6</f>
        <v>0.28334732309039817</v>
      </c>
      <c r="I38" s="19">
        <f t="shared" ref="I38:I43" si="9">G38/G$31</f>
        <v>0.13281920917485809</v>
      </c>
      <c r="J38" s="10"/>
      <c r="K38" s="19"/>
      <c r="L38" s="12" t="s">
        <v>252</v>
      </c>
    </row>
    <row r="39" spans="1:12" x14ac:dyDescent="0.2">
      <c r="A39" t="s">
        <v>47</v>
      </c>
      <c r="B39" t="s">
        <v>451</v>
      </c>
      <c r="C39">
        <v>3164</v>
      </c>
      <c r="E39" s="2" t="s">
        <v>281</v>
      </c>
      <c r="G39" s="13">
        <f>G42-G38-G40</f>
        <v>27757</v>
      </c>
      <c r="H39" s="10">
        <f t="shared" si="8"/>
        <v>0.20259844531221488</v>
      </c>
      <c r="I39" s="19">
        <f t="shared" si="9"/>
        <v>9.4968129548339414E-2</v>
      </c>
      <c r="J39" s="10"/>
      <c r="K39" s="19"/>
      <c r="L39" s="12" t="s">
        <v>283</v>
      </c>
    </row>
    <row r="40" spans="1:12" x14ac:dyDescent="0.2">
      <c r="A40" t="s">
        <v>48</v>
      </c>
      <c r="B40" t="s">
        <v>452</v>
      </c>
      <c r="C40">
        <v>750579</v>
      </c>
      <c r="E40" s="2" t="s">
        <v>251</v>
      </c>
      <c r="F40" s="3" t="s">
        <v>47</v>
      </c>
      <c r="G40" s="13">
        <f>INDEX(C$2:C$1001, MATCH("*"&amp;F40&amp;"*",A$2:A$1001,0))</f>
        <v>3164</v>
      </c>
      <c r="H40" s="10">
        <f t="shared" si="8"/>
        <v>2.309404766249407E-2</v>
      </c>
      <c r="I40" s="19">
        <f t="shared" si="9"/>
        <v>1.0825347187770505E-2</v>
      </c>
      <c r="J40" s="10"/>
      <c r="K40" s="19"/>
      <c r="L40" s="12" t="s">
        <v>253</v>
      </c>
    </row>
    <row r="41" spans="1:12" x14ac:dyDescent="0.2">
      <c r="A41" t="s">
        <v>49</v>
      </c>
      <c r="B41" t="s">
        <v>453</v>
      </c>
      <c r="C41">
        <v>0</v>
      </c>
      <c r="E41" s="2" t="s">
        <v>330</v>
      </c>
      <c r="G41" s="13">
        <f>G31-SUM(G32:G35)-G42</f>
        <v>40745</v>
      </c>
      <c r="H41" s="10">
        <f t="shared" si="8"/>
        <v>0.29739790518594211</v>
      </c>
      <c r="I41" s="19">
        <f t="shared" si="9"/>
        <v>0.13940542704352379</v>
      </c>
      <c r="J41" s="10"/>
      <c r="K41" s="19"/>
      <c r="L41" s="12" t="s">
        <v>331</v>
      </c>
    </row>
    <row r="42" spans="1:12" x14ac:dyDescent="0.2">
      <c r="A42" t="s">
        <v>50</v>
      </c>
      <c r="B42" t="s">
        <v>454</v>
      </c>
      <c r="C42">
        <v>0</v>
      </c>
      <c r="E42" s="2" t="s">
        <v>280</v>
      </c>
      <c r="F42" s="3" t="s">
        <v>45</v>
      </c>
      <c r="G42" s="13">
        <f>INDEX(C$2:C$1001, MATCH("*"&amp;F42&amp;"*",A$2:A$1001,0))</f>
        <v>69741</v>
      </c>
      <c r="H42" s="10">
        <f t="shared" si="8"/>
        <v>0.50903981606510706</v>
      </c>
      <c r="I42" s="19">
        <f t="shared" si="9"/>
        <v>0.23861268591096801</v>
      </c>
      <c r="J42" s="10"/>
      <c r="K42" s="19"/>
      <c r="L42" s="12" t="s">
        <v>282</v>
      </c>
    </row>
    <row r="43" spans="1:12" x14ac:dyDescent="0.2">
      <c r="A43" t="s">
        <v>122</v>
      </c>
      <c r="B43" t="s">
        <v>455</v>
      </c>
      <c r="C43">
        <v>0</v>
      </c>
      <c r="E43" s="2" t="s">
        <v>284</v>
      </c>
      <c r="F43" s="3" t="s">
        <v>46</v>
      </c>
      <c r="G43" s="13">
        <f>INDEX(C$2:C$1001, MATCH("*"&amp;F43&amp;"*",A$2:A$1001,0))</f>
        <v>46107</v>
      </c>
      <c r="H43" s="10">
        <f t="shared" si="8"/>
        <v>0.33653516295025732</v>
      </c>
      <c r="I43" s="19">
        <f t="shared" si="9"/>
        <v>0.15775103754315256</v>
      </c>
      <c r="J43" s="10"/>
      <c r="K43" s="19"/>
      <c r="L43" s="12" t="s">
        <v>231</v>
      </c>
    </row>
    <row r="44" spans="1:12" x14ac:dyDescent="0.2">
      <c r="A44" t="s">
        <v>51</v>
      </c>
      <c r="B44" t="s">
        <v>456</v>
      </c>
      <c r="C44">
        <v>0</v>
      </c>
    </row>
    <row r="45" spans="1:12" x14ac:dyDescent="0.2">
      <c r="A45" t="s">
        <v>52</v>
      </c>
      <c r="B45" t="s">
        <v>457</v>
      </c>
      <c r="C45">
        <v>0</v>
      </c>
      <c r="E45" s="6" t="s">
        <v>328</v>
      </c>
      <c r="F45" s="14"/>
      <c r="G45" s="8"/>
      <c r="H45" s="20"/>
      <c r="I45" s="20"/>
      <c r="J45" s="20"/>
      <c r="K45" s="20"/>
      <c r="L45" s="23"/>
    </row>
    <row r="46" spans="1:12" x14ac:dyDescent="0.2">
      <c r="A46" t="s">
        <v>211</v>
      </c>
      <c r="B46" t="s">
        <v>458</v>
      </c>
      <c r="C46">
        <v>0</v>
      </c>
      <c r="E46" s="2" t="s">
        <v>297</v>
      </c>
      <c r="F46" s="3" t="s">
        <v>181</v>
      </c>
      <c r="G46" s="13">
        <f t="shared" ref="G46:G53" si="10">INDEX(C$2:C$1001, MATCH("*"&amp;F46&amp;"*",A$2:A$1001,0))</f>
        <v>0</v>
      </c>
      <c r="H46" s="10">
        <f t="shared" ref="H46:H54" si="11">G46/G$6</f>
        <v>0</v>
      </c>
      <c r="I46" s="10">
        <f t="shared" ref="I46:I54" si="12">G46/G$31</f>
        <v>0</v>
      </c>
      <c r="J46" s="39">
        <f t="shared" ref="J46:J54" si="13">G46/G$5</f>
        <v>0</v>
      </c>
      <c r="K46" s="19"/>
      <c r="L46" s="37" t="s">
        <v>289</v>
      </c>
    </row>
    <row r="47" spans="1:12" x14ac:dyDescent="0.2">
      <c r="A47" t="s">
        <v>53</v>
      </c>
      <c r="B47" t="s">
        <v>459</v>
      </c>
      <c r="C47">
        <v>0</v>
      </c>
      <c r="E47" s="2" t="s">
        <v>298</v>
      </c>
      <c r="F47" s="3" t="s">
        <v>182</v>
      </c>
      <c r="G47" s="13">
        <f t="shared" si="10"/>
        <v>323712</v>
      </c>
      <c r="H47" s="10">
        <f t="shared" si="11"/>
        <v>2.3627750812014159</v>
      </c>
      <c r="I47" s="10">
        <f t="shared" si="12"/>
        <v>1.1075520824423406</v>
      </c>
      <c r="J47" s="39">
        <f t="shared" si="13"/>
        <v>0.43128304948579699</v>
      </c>
      <c r="K47" s="19"/>
      <c r="L47" s="37" t="s">
        <v>290</v>
      </c>
    </row>
    <row r="48" spans="1:12" x14ac:dyDescent="0.2">
      <c r="A48" t="s">
        <v>54</v>
      </c>
      <c r="B48" t="s">
        <v>460</v>
      </c>
      <c r="C48">
        <v>7218</v>
      </c>
      <c r="E48" s="2" t="s">
        <v>299</v>
      </c>
      <c r="F48" s="3" t="s">
        <v>183</v>
      </c>
      <c r="G48" s="13">
        <f t="shared" si="10"/>
        <v>167275</v>
      </c>
      <c r="H48" s="10">
        <f t="shared" si="11"/>
        <v>1.2209408415751251</v>
      </c>
      <c r="I48" s="10">
        <f t="shared" si="12"/>
        <v>0.57231667219794924</v>
      </c>
      <c r="J48" s="39">
        <f t="shared" si="13"/>
        <v>0.22286128442175973</v>
      </c>
      <c r="K48" s="19"/>
      <c r="L48" s="12" t="s">
        <v>291</v>
      </c>
    </row>
    <row r="49" spans="1:13" x14ac:dyDescent="0.2">
      <c r="A49" t="s">
        <v>55</v>
      </c>
      <c r="B49" t="s">
        <v>461</v>
      </c>
      <c r="C49">
        <v>27834</v>
      </c>
      <c r="E49" s="2" t="s">
        <v>300</v>
      </c>
      <c r="F49" s="3" t="s">
        <v>219</v>
      </c>
      <c r="G49" s="13">
        <f t="shared" si="10"/>
        <v>25599</v>
      </c>
      <c r="H49" s="10">
        <f t="shared" si="11"/>
        <v>0.18684719535783365</v>
      </c>
      <c r="I49" s="10">
        <f t="shared" si="12"/>
        <v>8.7584722711674196E-2</v>
      </c>
      <c r="J49" s="39">
        <f t="shared" si="13"/>
        <v>3.4105670422433884E-2</v>
      </c>
      <c r="K49" s="19"/>
      <c r="L49" s="12" t="s">
        <v>292</v>
      </c>
    </row>
    <row r="50" spans="1:13" x14ac:dyDescent="0.2">
      <c r="A50" t="s">
        <v>56</v>
      </c>
      <c r="B50" t="s">
        <v>462</v>
      </c>
      <c r="C50">
        <v>0</v>
      </c>
      <c r="E50" s="2" t="s">
        <v>301</v>
      </c>
      <c r="F50" s="3" t="s">
        <v>220</v>
      </c>
      <c r="G50" s="13">
        <f t="shared" si="10"/>
        <v>4006</v>
      </c>
      <c r="H50" s="10">
        <f t="shared" si="11"/>
        <v>2.9239808766103426E-2</v>
      </c>
      <c r="I50" s="10">
        <f t="shared" si="12"/>
        <v>1.3706175990584275E-2</v>
      </c>
      <c r="J50" s="39">
        <f t="shared" si="13"/>
        <v>5.3372130048935556E-3</v>
      </c>
      <c r="K50" s="19"/>
      <c r="L50" s="12" t="s">
        <v>293</v>
      </c>
    </row>
    <row r="51" spans="1:13" x14ac:dyDescent="0.2">
      <c r="A51" t="s">
        <v>57</v>
      </c>
      <c r="B51" t="s">
        <v>463</v>
      </c>
      <c r="C51">
        <v>0</v>
      </c>
      <c r="E51" s="2" t="s">
        <v>302</v>
      </c>
      <c r="F51" s="3" t="s">
        <v>221</v>
      </c>
      <c r="G51" s="13">
        <f t="shared" si="10"/>
        <v>92982</v>
      </c>
      <c r="H51" s="10">
        <f t="shared" si="11"/>
        <v>0.67867596073136016</v>
      </c>
      <c r="I51" s="10">
        <f t="shared" si="12"/>
        <v>0.31812971941001172</v>
      </c>
      <c r="J51" s="39">
        <f t="shared" si="13"/>
        <v>0.12388036435871508</v>
      </c>
      <c r="L51" s="12" t="s">
        <v>294</v>
      </c>
    </row>
    <row r="52" spans="1:13" x14ac:dyDescent="0.2">
      <c r="A52" t="s">
        <v>212</v>
      </c>
      <c r="B52" t="s">
        <v>464</v>
      </c>
      <c r="C52">
        <v>0</v>
      </c>
      <c r="E52" s="2" t="s">
        <v>303</v>
      </c>
      <c r="F52" s="3" t="s">
        <v>222</v>
      </c>
      <c r="G52" s="13">
        <f t="shared" si="10"/>
        <v>0</v>
      </c>
      <c r="H52" s="10">
        <f t="shared" si="11"/>
        <v>0</v>
      </c>
      <c r="I52" s="10">
        <f t="shared" si="12"/>
        <v>0</v>
      </c>
      <c r="J52" s="39">
        <f t="shared" si="13"/>
        <v>0</v>
      </c>
      <c r="L52" s="12" t="s">
        <v>295</v>
      </c>
    </row>
    <row r="53" spans="1:13" x14ac:dyDescent="0.2">
      <c r="A53" t="s">
        <v>213</v>
      </c>
      <c r="B53" t="s">
        <v>465</v>
      </c>
      <c r="C53">
        <v>0</v>
      </c>
      <c r="E53" s="2" t="s">
        <v>304</v>
      </c>
      <c r="F53" s="3" t="s">
        <v>223</v>
      </c>
      <c r="G53" s="13">
        <f t="shared" si="10"/>
        <v>0</v>
      </c>
      <c r="H53" s="10">
        <f t="shared" si="11"/>
        <v>0</v>
      </c>
      <c r="I53" s="10">
        <f t="shared" si="12"/>
        <v>0</v>
      </c>
      <c r="J53" s="39">
        <f t="shared" si="13"/>
        <v>0</v>
      </c>
      <c r="L53" s="12" t="s">
        <v>296</v>
      </c>
    </row>
    <row r="54" spans="1:13" x14ac:dyDescent="0.2">
      <c r="A54" t="s">
        <v>214</v>
      </c>
      <c r="B54" t="s">
        <v>466</v>
      </c>
      <c r="C54">
        <v>0</v>
      </c>
      <c r="E54" s="2" t="s">
        <v>305</v>
      </c>
      <c r="G54" s="13">
        <f>G6</f>
        <v>137005</v>
      </c>
      <c r="H54" s="10">
        <f t="shared" si="11"/>
        <v>1</v>
      </c>
      <c r="I54" s="10">
        <f t="shared" si="12"/>
        <v>0.46875053459560623</v>
      </c>
      <c r="J54" s="39">
        <f t="shared" si="13"/>
        <v>0.1825324183064008</v>
      </c>
      <c r="L54" s="12" t="s">
        <v>288</v>
      </c>
    </row>
    <row r="55" spans="1:13" x14ac:dyDescent="0.2">
      <c r="A55" t="s">
        <v>215</v>
      </c>
      <c r="B55" t="s">
        <v>467</v>
      </c>
      <c r="C55">
        <v>0</v>
      </c>
      <c r="H55" s="10"/>
      <c r="I55" s="10"/>
      <c r="J55" s="39"/>
    </row>
    <row r="56" spans="1:13" x14ac:dyDescent="0.2">
      <c r="A56" t="s">
        <v>138</v>
      </c>
      <c r="B56" t="s">
        <v>468</v>
      </c>
      <c r="C56">
        <v>0</v>
      </c>
      <c r="E56" s="6" t="s">
        <v>329</v>
      </c>
      <c r="F56" s="14"/>
      <c r="G56" s="8"/>
      <c r="H56" s="20"/>
      <c r="I56" s="20"/>
      <c r="J56" s="20"/>
      <c r="K56" s="20"/>
      <c r="L56" s="23"/>
    </row>
    <row r="57" spans="1:13" x14ac:dyDescent="0.2">
      <c r="A57" t="s">
        <v>58</v>
      </c>
      <c r="B57" t="s">
        <v>469</v>
      </c>
      <c r="C57">
        <v>2328</v>
      </c>
      <c r="E57" s="2" t="s">
        <v>311</v>
      </c>
      <c r="F57" s="3" t="s">
        <v>34</v>
      </c>
      <c r="G57" s="13">
        <f t="shared" ref="G57:G64" si="14">INDEX(C$2:C$1001, MATCH("*"&amp;F57&amp;"*",A$2:A$1001,0))</f>
        <v>0</v>
      </c>
      <c r="H57" s="10">
        <f t="shared" ref="H57:H65" si="15">G57/G$6</f>
        <v>0</v>
      </c>
      <c r="I57" s="10">
        <f t="shared" ref="I57:I65" si="16">G57/G$31</f>
        <v>0</v>
      </c>
      <c r="J57" s="39">
        <f t="shared" ref="J57:J65" si="17">G57/G$5</f>
        <v>0</v>
      </c>
      <c r="K57" s="19"/>
      <c r="L57" s="37" t="s">
        <v>319</v>
      </c>
    </row>
    <row r="58" spans="1:13" x14ac:dyDescent="0.2">
      <c r="A58" t="s">
        <v>59</v>
      </c>
      <c r="B58" t="s">
        <v>470</v>
      </c>
      <c r="C58">
        <v>3870</v>
      </c>
      <c r="E58" s="2" t="s">
        <v>312</v>
      </c>
      <c r="F58" s="3" t="s">
        <v>35</v>
      </c>
      <c r="G58" s="13">
        <f t="shared" si="14"/>
        <v>323712</v>
      </c>
      <c r="H58" s="10">
        <f t="shared" si="15"/>
        <v>2.3627750812014159</v>
      </c>
      <c r="I58" s="10">
        <f t="shared" si="16"/>
        <v>1.1075520824423406</v>
      </c>
      <c r="J58" s="39">
        <f t="shared" si="17"/>
        <v>0.43128304948579699</v>
      </c>
      <c r="K58" s="19"/>
      <c r="L58" s="37" t="s">
        <v>320</v>
      </c>
    </row>
    <row r="59" spans="1:13" x14ac:dyDescent="0.2">
      <c r="A59" t="s">
        <v>60</v>
      </c>
      <c r="B59" t="s">
        <v>471</v>
      </c>
      <c r="C59">
        <v>179</v>
      </c>
      <c r="E59" s="2" t="s">
        <v>313</v>
      </c>
      <c r="F59" s="3" t="s">
        <v>205</v>
      </c>
      <c r="G59" s="13">
        <f t="shared" si="14"/>
        <v>167275</v>
      </c>
      <c r="H59" s="10">
        <f t="shared" si="15"/>
        <v>1.2209408415751251</v>
      </c>
      <c r="I59" s="10">
        <f t="shared" si="16"/>
        <v>0.57231667219794924</v>
      </c>
      <c r="J59" s="39">
        <f t="shared" si="17"/>
        <v>0.22286128442175973</v>
      </c>
      <c r="K59" s="19"/>
      <c r="L59" s="12" t="s">
        <v>321</v>
      </c>
    </row>
    <row r="60" spans="1:13" x14ac:dyDescent="0.2">
      <c r="A60" t="s">
        <v>120</v>
      </c>
      <c r="B60" t="s">
        <v>472</v>
      </c>
      <c r="C60">
        <v>1</v>
      </c>
      <c r="E60" s="2" t="s">
        <v>314</v>
      </c>
      <c r="F60" s="3" t="s">
        <v>206</v>
      </c>
      <c r="G60" s="13">
        <f t="shared" si="14"/>
        <v>25599</v>
      </c>
      <c r="H60" s="10">
        <f t="shared" si="15"/>
        <v>0.18684719535783365</v>
      </c>
      <c r="I60" s="10">
        <f t="shared" si="16"/>
        <v>8.7584722711674196E-2</v>
      </c>
      <c r="J60" s="39">
        <f t="shared" si="17"/>
        <v>3.4105670422433884E-2</v>
      </c>
      <c r="K60" s="19"/>
      <c r="L60" s="12" t="s">
        <v>322</v>
      </c>
    </row>
    <row r="61" spans="1:13" x14ac:dyDescent="0.2">
      <c r="A61" t="s">
        <v>139</v>
      </c>
      <c r="B61" t="s">
        <v>473</v>
      </c>
      <c r="C61">
        <v>13661</v>
      </c>
      <c r="E61" s="2" t="s">
        <v>315</v>
      </c>
      <c r="F61" s="3" t="s">
        <v>207</v>
      </c>
      <c r="G61" s="13">
        <f t="shared" si="14"/>
        <v>4006</v>
      </c>
      <c r="H61" s="10">
        <f t="shared" si="15"/>
        <v>2.9239808766103426E-2</v>
      </c>
      <c r="I61" s="10">
        <f t="shared" si="16"/>
        <v>1.3706175990584275E-2</v>
      </c>
      <c r="J61" s="39">
        <f t="shared" si="17"/>
        <v>5.3372130048935556E-3</v>
      </c>
      <c r="K61" s="19"/>
      <c r="L61" s="12" t="s">
        <v>323</v>
      </c>
    </row>
    <row r="62" spans="1:13" x14ac:dyDescent="0.2">
      <c r="A62" t="s">
        <v>216</v>
      </c>
      <c r="B62" t="s">
        <v>474</v>
      </c>
      <c r="C62">
        <v>633</v>
      </c>
      <c r="E62" s="2" t="s">
        <v>316</v>
      </c>
      <c r="F62" s="3" t="s">
        <v>208</v>
      </c>
      <c r="G62" s="13">
        <f t="shared" si="14"/>
        <v>92982</v>
      </c>
      <c r="H62" s="10">
        <f t="shared" si="15"/>
        <v>0.67867596073136016</v>
      </c>
      <c r="I62" s="10">
        <f t="shared" si="16"/>
        <v>0.31812971941001172</v>
      </c>
      <c r="J62" s="39">
        <f t="shared" si="17"/>
        <v>0.12388036435871508</v>
      </c>
      <c r="L62" s="12" t="s">
        <v>324</v>
      </c>
    </row>
    <row r="63" spans="1:13" x14ac:dyDescent="0.2">
      <c r="A63" t="s">
        <v>61</v>
      </c>
      <c r="B63" t="s">
        <v>475</v>
      </c>
      <c r="C63">
        <v>38820</v>
      </c>
      <c r="E63" s="2" t="s">
        <v>317</v>
      </c>
      <c r="F63" s="3" t="s">
        <v>209</v>
      </c>
      <c r="G63" s="13">
        <f t="shared" si="14"/>
        <v>0</v>
      </c>
      <c r="H63" s="10">
        <f t="shared" si="15"/>
        <v>0</v>
      </c>
      <c r="I63" s="10">
        <f t="shared" si="16"/>
        <v>0</v>
      </c>
      <c r="J63" s="39">
        <f t="shared" si="17"/>
        <v>0</v>
      </c>
      <c r="L63" s="12" t="s">
        <v>325</v>
      </c>
    </row>
    <row r="64" spans="1:13" x14ac:dyDescent="0.2">
      <c r="A64" t="s">
        <v>140</v>
      </c>
      <c r="B64" t="s">
        <v>476</v>
      </c>
      <c r="C64">
        <v>0</v>
      </c>
      <c r="E64" s="2" t="s">
        <v>318</v>
      </c>
      <c r="F64" s="3" t="s">
        <v>210</v>
      </c>
      <c r="G64" s="13">
        <f t="shared" si="14"/>
        <v>0</v>
      </c>
      <c r="H64" s="10">
        <f t="shared" si="15"/>
        <v>0</v>
      </c>
      <c r="I64" s="10">
        <f t="shared" si="16"/>
        <v>0</v>
      </c>
      <c r="J64" s="39">
        <f t="shared" si="17"/>
        <v>0</v>
      </c>
      <c r="L64" s="12" t="s">
        <v>326</v>
      </c>
      <c r="M64" s="44"/>
    </row>
    <row r="65" spans="1:13" x14ac:dyDescent="0.2">
      <c r="A65" t="s">
        <v>416</v>
      </c>
      <c r="B65" t="s">
        <v>477</v>
      </c>
      <c r="C65">
        <v>0</v>
      </c>
      <c r="E65" s="2" t="s">
        <v>305</v>
      </c>
      <c r="G65" s="13">
        <f>G6</f>
        <v>137005</v>
      </c>
      <c r="H65" s="10">
        <f t="shared" si="15"/>
        <v>1</v>
      </c>
      <c r="I65" s="10">
        <f t="shared" si="16"/>
        <v>0.46875053459560623</v>
      </c>
      <c r="J65" s="39">
        <f t="shared" si="17"/>
        <v>0.1825324183064008</v>
      </c>
      <c r="L65" s="12" t="s">
        <v>327</v>
      </c>
      <c r="M65" s="44"/>
    </row>
    <row r="66" spans="1:13" x14ac:dyDescent="0.2">
      <c r="A66" t="s">
        <v>62</v>
      </c>
      <c r="B66" t="s">
        <v>478</v>
      </c>
      <c r="C66">
        <v>0</v>
      </c>
    </row>
    <row r="67" spans="1:13" x14ac:dyDescent="0.2">
      <c r="A67" t="s">
        <v>141</v>
      </c>
      <c r="B67" t="s">
        <v>479</v>
      </c>
      <c r="C67">
        <v>40693</v>
      </c>
      <c r="E67" s="6" t="s">
        <v>247</v>
      </c>
      <c r="F67" s="14"/>
      <c r="G67" s="8"/>
      <c r="H67" s="34"/>
      <c r="I67" s="34"/>
      <c r="J67" s="34"/>
      <c r="K67" s="20"/>
      <c r="L67" s="23"/>
    </row>
    <row r="68" spans="1:13" x14ac:dyDescent="0.2">
      <c r="A68" t="s">
        <v>142</v>
      </c>
      <c r="B68" t="s">
        <v>480</v>
      </c>
      <c r="C68">
        <v>0</v>
      </c>
      <c r="E68" s="2" t="s">
        <v>5</v>
      </c>
      <c r="F68" s="3" t="s">
        <v>36</v>
      </c>
      <c r="G68" s="13">
        <f t="shared" ref="G68:G78" si="18">INDEX(C$2:C$1001, MATCH("*"&amp;F68&amp;"*",A$2:A$1001,0))</f>
        <v>2793</v>
      </c>
      <c r="H68" s="10">
        <f t="shared" ref="H68:H78" si="19">G68/G$6</f>
        <v>2.0386117294989233E-2</v>
      </c>
      <c r="I68" s="10">
        <f t="shared" ref="I68:I78" si="20">G68/G$31</f>
        <v>9.5560033803549372E-3</v>
      </c>
      <c r="J68" s="10">
        <f t="shared" ref="J68:J78" si="21">G68/G$5</f>
        <v>3.7211272897323265E-3</v>
      </c>
      <c r="K68" s="19"/>
      <c r="L68" s="12" t="s">
        <v>97</v>
      </c>
    </row>
    <row r="69" spans="1:13" x14ac:dyDescent="0.2">
      <c r="A69" t="s">
        <v>143</v>
      </c>
      <c r="B69" t="s">
        <v>481</v>
      </c>
      <c r="C69">
        <v>4140</v>
      </c>
      <c r="E69" s="2" t="s">
        <v>265</v>
      </c>
      <c r="F69" s="3" t="s">
        <v>37</v>
      </c>
      <c r="G69" s="13">
        <f t="shared" si="18"/>
        <v>586</v>
      </c>
      <c r="H69" s="10">
        <f t="shared" si="19"/>
        <v>4.2772161599941606E-3</v>
      </c>
      <c r="I69" s="10">
        <f t="shared" si="20"/>
        <v>2.0049473615782287E-3</v>
      </c>
      <c r="J69" s="10">
        <f t="shared" si="21"/>
        <v>7.807306093029515E-4</v>
      </c>
      <c r="K69" s="19"/>
      <c r="L69" s="12" t="s">
        <v>98</v>
      </c>
    </row>
    <row r="70" spans="1:13" x14ac:dyDescent="0.2">
      <c r="A70" t="s">
        <v>144</v>
      </c>
      <c r="B70" t="s">
        <v>482</v>
      </c>
      <c r="C70">
        <v>145</v>
      </c>
      <c r="E70" s="2" t="s">
        <v>196</v>
      </c>
      <c r="F70" s="3" t="s">
        <v>153</v>
      </c>
      <c r="G70" s="13">
        <f t="shared" si="18"/>
        <v>236</v>
      </c>
      <c r="H70" s="10">
        <f t="shared" si="19"/>
        <v>1.7225648698952593E-3</v>
      </c>
      <c r="I70" s="10">
        <f t="shared" si="20"/>
        <v>8.0745320363901371E-4</v>
      </c>
      <c r="J70" s="10">
        <f t="shared" si="21"/>
        <v>3.1442393139163231E-4</v>
      </c>
      <c r="L70" s="12" t="s">
        <v>195</v>
      </c>
    </row>
    <row r="71" spans="1:13" x14ac:dyDescent="0.2">
      <c r="A71" t="s">
        <v>145</v>
      </c>
      <c r="B71" t="s">
        <v>483</v>
      </c>
      <c r="C71">
        <v>29617</v>
      </c>
      <c r="E71" s="2" t="s">
        <v>254</v>
      </c>
      <c r="F71" s="3" t="s">
        <v>154</v>
      </c>
      <c r="G71" s="13">
        <f t="shared" si="18"/>
        <v>0</v>
      </c>
      <c r="H71" s="10">
        <f t="shared" si="19"/>
        <v>0</v>
      </c>
      <c r="I71" s="10">
        <f t="shared" si="20"/>
        <v>0</v>
      </c>
      <c r="J71" s="10">
        <f t="shared" si="21"/>
        <v>0</v>
      </c>
      <c r="L71" s="12" t="s">
        <v>266</v>
      </c>
    </row>
    <row r="72" spans="1:13" x14ac:dyDescent="0.2">
      <c r="A72" t="s">
        <v>146</v>
      </c>
      <c r="B72" t="s">
        <v>484</v>
      </c>
      <c r="C72">
        <v>14798</v>
      </c>
      <c r="E72" s="2" t="s">
        <v>256</v>
      </c>
      <c r="F72" s="3" t="s">
        <v>155</v>
      </c>
      <c r="G72" s="13">
        <f t="shared" si="18"/>
        <v>0</v>
      </c>
      <c r="H72" s="10">
        <f t="shared" si="19"/>
        <v>0</v>
      </c>
      <c r="I72" s="10">
        <f t="shared" si="20"/>
        <v>0</v>
      </c>
      <c r="J72" s="10">
        <f t="shared" si="21"/>
        <v>0</v>
      </c>
      <c r="L72" s="12" t="s">
        <v>267</v>
      </c>
    </row>
    <row r="73" spans="1:13" x14ac:dyDescent="0.2">
      <c r="A73" t="s">
        <v>147</v>
      </c>
      <c r="B73" t="s">
        <v>485</v>
      </c>
      <c r="C73">
        <v>0</v>
      </c>
      <c r="E73" s="2" t="s">
        <v>255</v>
      </c>
      <c r="F73" s="3" t="s">
        <v>156</v>
      </c>
      <c r="G73" s="13">
        <f t="shared" si="18"/>
        <v>9</v>
      </c>
      <c r="H73" s="10">
        <f t="shared" si="19"/>
        <v>6.5691033173971753E-5</v>
      </c>
      <c r="I73" s="10">
        <f t="shared" si="20"/>
        <v>3.0792706918436961E-5</v>
      </c>
      <c r="J73" s="10">
        <f t="shared" si="21"/>
        <v>1.1990743146291063E-5</v>
      </c>
      <c r="L73" s="12" t="s">
        <v>268</v>
      </c>
    </row>
    <row r="74" spans="1:13" x14ac:dyDescent="0.2">
      <c r="A74" t="s">
        <v>63</v>
      </c>
      <c r="B74" t="s">
        <v>486</v>
      </c>
      <c r="C74">
        <v>0</v>
      </c>
      <c r="E74" s="2" t="s">
        <v>257</v>
      </c>
      <c r="F74" s="3" t="s">
        <v>161</v>
      </c>
      <c r="G74" s="13">
        <f t="shared" si="18"/>
        <v>314</v>
      </c>
      <c r="H74" s="10">
        <f t="shared" si="19"/>
        <v>2.2918871574030145E-3</v>
      </c>
      <c r="I74" s="10">
        <f t="shared" si="20"/>
        <v>1.0743233302654674E-3</v>
      </c>
      <c r="J74" s="10">
        <f t="shared" si="21"/>
        <v>4.1834370532615485E-4</v>
      </c>
      <c r="L74" s="12" t="s">
        <v>269</v>
      </c>
    </row>
    <row r="75" spans="1:13" x14ac:dyDescent="0.2">
      <c r="A75" t="s">
        <v>64</v>
      </c>
      <c r="B75" t="s">
        <v>487</v>
      </c>
      <c r="C75">
        <v>2648</v>
      </c>
      <c r="E75" s="2" t="s">
        <v>258</v>
      </c>
      <c r="F75" s="3" t="s">
        <v>162</v>
      </c>
      <c r="G75" s="13">
        <f t="shared" si="18"/>
        <v>0</v>
      </c>
      <c r="H75" s="10">
        <f t="shared" si="19"/>
        <v>0</v>
      </c>
      <c r="I75" s="10">
        <f t="shared" si="20"/>
        <v>0</v>
      </c>
      <c r="J75" s="10">
        <f t="shared" si="21"/>
        <v>0</v>
      </c>
      <c r="L75" s="12" t="s">
        <v>270</v>
      </c>
    </row>
    <row r="76" spans="1:13" x14ac:dyDescent="0.2">
      <c r="A76" t="s">
        <v>65</v>
      </c>
      <c r="B76" t="s">
        <v>488</v>
      </c>
      <c r="C76">
        <v>31017</v>
      </c>
      <c r="E76" s="2" t="s">
        <v>259</v>
      </c>
      <c r="F76" s="3" t="s">
        <v>165</v>
      </c>
      <c r="G76" s="13">
        <f t="shared" si="18"/>
        <v>27</v>
      </c>
      <c r="H76" s="10">
        <f t="shared" si="19"/>
        <v>1.9707309952191526E-4</v>
      </c>
      <c r="I76" s="10">
        <f t="shared" si="20"/>
        <v>9.2378120755310891E-5</v>
      </c>
      <c r="J76" s="10">
        <f t="shared" si="21"/>
        <v>3.5972229438873188E-5</v>
      </c>
      <c r="L76" s="12" t="s">
        <v>271</v>
      </c>
    </row>
    <row r="77" spans="1:13" x14ac:dyDescent="0.2">
      <c r="A77" t="s">
        <v>217</v>
      </c>
      <c r="B77" t="s">
        <v>489</v>
      </c>
      <c r="C77">
        <v>0</v>
      </c>
      <c r="E77" s="2" t="s">
        <v>260</v>
      </c>
      <c r="F77" s="3" t="s">
        <v>163</v>
      </c>
      <c r="G77" s="13">
        <f t="shared" si="18"/>
        <v>0</v>
      </c>
      <c r="H77" s="10">
        <f t="shared" si="19"/>
        <v>0</v>
      </c>
      <c r="I77" s="10">
        <f t="shared" si="20"/>
        <v>0</v>
      </c>
      <c r="J77" s="10">
        <f t="shared" si="21"/>
        <v>0</v>
      </c>
      <c r="L77" s="12" t="s">
        <v>273</v>
      </c>
    </row>
    <row r="78" spans="1:13" x14ac:dyDescent="0.2">
      <c r="A78" t="s">
        <v>412</v>
      </c>
      <c r="B78" t="s">
        <v>490</v>
      </c>
      <c r="C78">
        <v>0</v>
      </c>
      <c r="E78" s="2" t="s">
        <v>261</v>
      </c>
      <c r="F78" s="3" t="s">
        <v>164</v>
      </c>
      <c r="G78" s="13">
        <f t="shared" si="18"/>
        <v>0</v>
      </c>
      <c r="H78" s="10">
        <f t="shared" si="19"/>
        <v>0</v>
      </c>
      <c r="I78" s="10">
        <f t="shared" si="20"/>
        <v>0</v>
      </c>
      <c r="J78" s="10">
        <f t="shared" si="21"/>
        <v>0</v>
      </c>
      <c r="L78" s="12" t="s">
        <v>272</v>
      </c>
    </row>
    <row r="79" spans="1:13" x14ac:dyDescent="0.2">
      <c r="A79" t="s">
        <v>408</v>
      </c>
      <c r="B79" t="s">
        <v>491</v>
      </c>
      <c r="C79">
        <v>0</v>
      </c>
      <c r="H79" s="10"/>
      <c r="I79" s="10"/>
      <c r="J79" s="10"/>
      <c r="K79" s="19"/>
    </row>
    <row r="80" spans="1:13" x14ac:dyDescent="0.2">
      <c r="A80" t="s">
        <v>66</v>
      </c>
      <c r="B80" t="s">
        <v>492</v>
      </c>
      <c r="C80">
        <v>0</v>
      </c>
      <c r="E80" s="6" t="s">
        <v>248</v>
      </c>
      <c r="F80" s="14"/>
      <c r="G80" s="8"/>
      <c r="H80" s="34"/>
      <c r="I80" s="34"/>
      <c r="J80" s="34"/>
      <c r="K80" s="20"/>
      <c r="L80" s="23"/>
    </row>
    <row r="81" spans="1:12" x14ac:dyDescent="0.2">
      <c r="A81" t="s">
        <v>67</v>
      </c>
      <c r="B81" t="s">
        <v>493</v>
      </c>
      <c r="C81">
        <v>0</v>
      </c>
      <c r="E81" s="2" t="s">
        <v>275</v>
      </c>
      <c r="F81" s="3" t="s">
        <v>59</v>
      </c>
      <c r="G81" s="13">
        <f>INDEX(C$2:C$1001, MATCH("*"&amp;F81&amp;"*",A$2:A$1001,0))</f>
        <v>3870</v>
      </c>
      <c r="H81" s="38">
        <f>G81/G$6</f>
        <v>2.8247144264807855E-2</v>
      </c>
      <c r="I81" s="38">
        <f>G81/G$31</f>
        <v>1.3240863974927894E-2</v>
      </c>
      <c r="J81" s="10">
        <f>G81/G$5</f>
        <v>5.156019552905157E-3</v>
      </c>
      <c r="K81" s="19"/>
      <c r="L81" s="12" t="s">
        <v>99</v>
      </c>
    </row>
    <row r="82" spans="1:12" x14ac:dyDescent="0.2">
      <c r="A82" t="s">
        <v>68</v>
      </c>
      <c r="B82" t="s">
        <v>494</v>
      </c>
      <c r="C82">
        <v>0</v>
      </c>
      <c r="E82" s="2" t="s">
        <v>274</v>
      </c>
      <c r="F82" s="3" t="s">
        <v>60</v>
      </c>
      <c r="G82" s="13">
        <f>INDEX(C$2:C$1001, MATCH("*"&amp;F82&amp;"*",A$2:A$1001,0))</f>
        <v>179</v>
      </c>
      <c r="H82" s="38">
        <f>G82/G$6</f>
        <v>1.3065216597934381E-3</v>
      </c>
      <c r="I82" s="38">
        <f>G82/G$31</f>
        <v>6.1243272648891297E-4</v>
      </c>
      <c r="J82" s="10">
        <f>G82/G$5</f>
        <v>2.3848255813178893E-4</v>
      </c>
      <c r="K82" s="19"/>
      <c r="L82" s="12" t="s">
        <v>307</v>
      </c>
    </row>
    <row r="83" spans="1:12" x14ac:dyDescent="0.2">
      <c r="A83" t="s">
        <v>69</v>
      </c>
      <c r="B83" t="s">
        <v>495</v>
      </c>
      <c r="C83">
        <v>0</v>
      </c>
      <c r="E83" s="2" t="s">
        <v>276</v>
      </c>
      <c r="F83" s="3" t="s">
        <v>216</v>
      </c>
      <c r="G83" s="13">
        <f>INDEX(C$2:C$1001, MATCH("*"&amp;F83&amp;"*",A$2:A$1001,0))</f>
        <v>633</v>
      </c>
      <c r="H83" s="38">
        <f>G83/G$6</f>
        <v>4.6202693332360132E-3</v>
      </c>
      <c r="I83" s="38">
        <f>G83/G$31</f>
        <v>2.1657537199300664E-3</v>
      </c>
      <c r="J83" s="10">
        <f>G83/G$5</f>
        <v>8.4334893462247149E-4</v>
      </c>
      <c r="K83" s="19"/>
      <c r="L83" s="12" t="s">
        <v>285</v>
      </c>
    </row>
    <row r="84" spans="1:12" x14ac:dyDescent="0.2">
      <c r="A84" t="s">
        <v>70</v>
      </c>
      <c r="B84" t="s">
        <v>496</v>
      </c>
      <c r="C84">
        <v>0</v>
      </c>
      <c r="E84" s="2" t="s">
        <v>384</v>
      </c>
      <c r="G84" s="19">
        <f>G81/(G38+G40)</f>
        <v>9.217797256097561E-2</v>
      </c>
      <c r="L84" s="12" t="s">
        <v>310</v>
      </c>
    </row>
    <row r="85" spans="1:12" x14ac:dyDescent="0.2">
      <c r="A85" t="s">
        <v>71</v>
      </c>
      <c r="B85" t="s">
        <v>497</v>
      </c>
      <c r="C85">
        <v>0</v>
      </c>
      <c r="E85" s="2" t="s">
        <v>385</v>
      </c>
      <c r="G85" s="19">
        <f>G81/G38</f>
        <v>9.969088098918083E-2</v>
      </c>
      <c r="L85" s="12" t="s">
        <v>386</v>
      </c>
    </row>
    <row r="86" spans="1:12" x14ac:dyDescent="0.2">
      <c r="A86" t="s">
        <v>72</v>
      </c>
      <c r="B86" t="s">
        <v>498</v>
      </c>
      <c r="C86">
        <v>0</v>
      </c>
      <c r="E86" s="2" t="s">
        <v>308</v>
      </c>
      <c r="G86" s="38">
        <f>G82/INDEX(C$2:C$1001,MATCH("0x5a",A$2:A$1001,0))</f>
        <v>1.310299392431008E-2</v>
      </c>
      <c r="L86" s="12" t="s">
        <v>309</v>
      </c>
    </row>
    <row r="87" spans="1:12" x14ac:dyDescent="0.2">
      <c r="A87" t="s">
        <v>73</v>
      </c>
      <c r="B87" t="s">
        <v>499</v>
      </c>
      <c r="C87">
        <v>0</v>
      </c>
    </row>
    <row r="88" spans="1:12" x14ac:dyDescent="0.2">
      <c r="A88" t="s">
        <v>74</v>
      </c>
      <c r="B88" t="s">
        <v>500</v>
      </c>
      <c r="C88">
        <v>0</v>
      </c>
      <c r="E88" s="6" t="s">
        <v>249</v>
      </c>
      <c r="F88" s="14"/>
      <c r="G88" s="8"/>
      <c r="H88" s="34"/>
      <c r="I88" s="34"/>
      <c r="J88" s="34"/>
      <c r="K88" s="20"/>
      <c r="L88" s="23"/>
    </row>
    <row r="89" spans="1:12" x14ac:dyDescent="0.2">
      <c r="A89" t="s">
        <v>75</v>
      </c>
      <c r="B89" t="s">
        <v>501</v>
      </c>
      <c r="C89">
        <v>1</v>
      </c>
      <c r="E89" s="2" t="s">
        <v>262</v>
      </c>
      <c r="F89" s="3" t="s">
        <v>160</v>
      </c>
      <c r="G89" s="13">
        <f>INDEX(C$2:C$1001, MATCH("*"&amp;F89&amp;"*",A$2:A$1001,0))</f>
        <v>14</v>
      </c>
      <c r="H89" s="38">
        <f>G89/G$6</f>
        <v>1.0218605160395605E-4</v>
      </c>
      <c r="I89" s="10">
        <f>G89/G$31</f>
        <v>4.7899766317568609E-5</v>
      </c>
      <c r="J89" s="10">
        <f>G89/G$5</f>
        <v>1.8652267116452764E-5</v>
      </c>
      <c r="K89" s="19"/>
      <c r="L89" s="12" t="s">
        <v>277</v>
      </c>
    </row>
    <row r="90" spans="1:12" x14ac:dyDescent="0.2">
      <c r="A90" t="s">
        <v>76</v>
      </c>
      <c r="B90" t="s">
        <v>502</v>
      </c>
      <c r="C90">
        <v>0</v>
      </c>
      <c r="E90" s="2" t="s">
        <v>263</v>
      </c>
      <c r="F90" s="3" t="s">
        <v>144</v>
      </c>
      <c r="G90" s="13">
        <f>INDEX(C$2:C$1001, MATCH("*"&amp;F90&amp;"*",A$2:A$1001,0))</f>
        <v>145</v>
      </c>
      <c r="H90" s="38">
        <f>G90/G$6</f>
        <v>1.058355534469545E-3</v>
      </c>
      <c r="I90" s="10">
        <f>G90/G$31</f>
        <v>4.9610472257481772E-4</v>
      </c>
      <c r="J90" s="10">
        <f>G90/G$5</f>
        <v>1.9318419513468936E-4</v>
      </c>
      <c r="K90" s="19"/>
      <c r="L90" s="12" t="s">
        <v>278</v>
      </c>
    </row>
    <row r="91" spans="1:12" x14ac:dyDescent="0.2">
      <c r="A91" t="s">
        <v>77</v>
      </c>
      <c r="B91" t="s">
        <v>503</v>
      </c>
      <c r="C91">
        <v>0</v>
      </c>
      <c r="E91" s="2" t="s">
        <v>264</v>
      </c>
      <c r="F91" s="3" t="s">
        <v>120</v>
      </c>
      <c r="G91" s="13">
        <f>INDEX(C$2:C$1001, MATCH("*"&amp;F91&amp;"*",A$2:A$1001,0))</f>
        <v>1</v>
      </c>
      <c r="H91" s="38">
        <f>G91/G$6</f>
        <v>7.2990036859968617E-6</v>
      </c>
      <c r="I91" s="10">
        <f>G91/G$31</f>
        <v>3.4214118798263293E-6</v>
      </c>
      <c r="J91" s="10">
        <f>G91/G$5</f>
        <v>1.3323047940323403E-6</v>
      </c>
      <c r="K91" s="19"/>
      <c r="L91" s="12" t="s">
        <v>279</v>
      </c>
    </row>
    <row r="92" spans="1:12" x14ac:dyDescent="0.2">
      <c r="A92" t="s">
        <v>78</v>
      </c>
      <c r="B92" t="s">
        <v>504</v>
      </c>
      <c r="C92">
        <v>0</v>
      </c>
    </row>
    <row r="93" spans="1:12" x14ac:dyDescent="0.2">
      <c r="A93" t="s">
        <v>79</v>
      </c>
      <c r="B93" t="s">
        <v>505</v>
      </c>
      <c r="C93">
        <v>0</v>
      </c>
      <c r="E93" s="6" t="s">
        <v>365</v>
      </c>
      <c r="F93" s="14"/>
      <c r="G93" s="8"/>
      <c r="H93" s="34"/>
      <c r="I93" s="34"/>
      <c r="J93" s="34"/>
      <c r="K93" s="20"/>
      <c r="L93" s="23"/>
    </row>
    <row r="94" spans="1:12" x14ac:dyDescent="0.2">
      <c r="A94" t="s">
        <v>80</v>
      </c>
      <c r="B94" t="s">
        <v>506</v>
      </c>
      <c r="C94">
        <v>0</v>
      </c>
      <c r="E94" s="2" t="s">
        <v>117</v>
      </c>
      <c r="F94" s="3" t="s">
        <v>166</v>
      </c>
      <c r="G94" s="13">
        <f>INDEX(C$2:C$1001, MATCH("*"&amp;F94&amp;"*",A$2:A$1001,0))</f>
        <v>12</v>
      </c>
      <c r="H94" s="38">
        <f t="shared" ref="H94:H96" si="22">G94/G$6</f>
        <v>8.7588044231962333E-5</v>
      </c>
      <c r="I94" s="38">
        <f t="shared" ref="I94:I96" si="23">G94/G$31</f>
        <v>4.1056942557915948E-5</v>
      </c>
      <c r="J94" s="10">
        <f t="shared" ref="J94:J96" si="24">G94/G$5</f>
        <v>1.5987657528388085E-5</v>
      </c>
      <c r="K94" s="19"/>
      <c r="L94" s="12" t="s">
        <v>369</v>
      </c>
    </row>
    <row r="95" spans="1:12" x14ac:dyDescent="0.2">
      <c r="A95" t="s">
        <v>81</v>
      </c>
      <c r="B95" t="s">
        <v>507</v>
      </c>
      <c r="C95">
        <v>0</v>
      </c>
      <c r="E95" s="2" t="s">
        <v>387</v>
      </c>
      <c r="F95" s="3" t="s">
        <v>168</v>
      </c>
      <c r="G95" s="13">
        <f>INDEX(C$2:C$1001, MATCH("*"&amp;F95&amp;"*",A$2:A$1001,0))</f>
        <v>0</v>
      </c>
      <c r="H95" s="38">
        <f t="shared" si="22"/>
        <v>0</v>
      </c>
      <c r="I95" s="38">
        <f t="shared" si="23"/>
        <v>0</v>
      </c>
      <c r="J95" s="10">
        <f t="shared" si="24"/>
        <v>0</v>
      </c>
      <c r="K95" s="19"/>
      <c r="L95" s="12" t="s">
        <v>388</v>
      </c>
    </row>
    <row r="96" spans="1:12" x14ac:dyDescent="0.2">
      <c r="A96" t="s">
        <v>82</v>
      </c>
      <c r="B96" t="s">
        <v>508</v>
      </c>
      <c r="C96">
        <v>0</v>
      </c>
      <c r="E96" s="47" t="s">
        <v>390</v>
      </c>
      <c r="F96" s="3" t="s">
        <v>32</v>
      </c>
      <c r="G96" s="13">
        <f>INDEX(C$2:C$1001, MATCH("*"&amp;F96&amp;"*",A$2:A$1001,0))</f>
        <v>4368</v>
      </c>
      <c r="H96" s="38">
        <f t="shared" si="22"/>
        <v>3.1882048100434289E-2</v>
      </c>
      <c r="I96" s="38">
        <f t="shared" si="23"/>
        <v>1.4944727091081406E-2</v>
      </c>
      <c r="J96" s="10">
        <f t="shared" si="24"/>
        <v>5.8195073403332631E-3</v>
      </c>
      <c r="K96" s="19"/>
      <c r="L96" s="12" t="s">
        <v>391</v>
      </c>
    </row>
    <row r="97" spans="1:12" x14ac:dyDescent="0.2">
      <c r="A97" t="s">
        <v>148</v>
      </c>
      <c r="B97" t="s">
        <v>509</v>
      </c>
      <c r="C97">
        <v>0</v>
      </c>
      <c r="E97" s="2" t="s">
        <v>361</v>
      </c>
      <c r="F97" s="3" t="s">
        <v>143</v>
      </c>
      <c r="G97" s="13">
        <f>INDEX(C$2:C$1001, MATCH("*"&amp;F97&amp;"*",A$2:A$1001,0))</f>
        <v>4140</v>
      </c>
      <c r="H97" s="38">
        <f t="shared" ref="H97:H116" si="25">G97/G$6</f>
        <v>3.0217875260027005E-2</v>
      </c>
      <c r="I97" s="38">
        <f t="shared" ref="I97:I116" si="26">G97/G$31</f>
        <v>1.4164645182481003E-2</v>
      </c>
      <c r="J97" s="10">
        <f t="shared" ref="J97:J116" si="27">G97/G$5</f>
        <v>5.5157418472938889E-3</v>
      </c>
      <c r="K97" s="19"/>
      <c r="L97" s="12" t="s">
        <v>362</v>
      </c>
    </row>
    <row r="98" spans="1:12" x14ac:dyDescent="0.2">
      <c r="A98" t="s">
        <v>149</v>
      </c>
      <c r="B98" t="s">
        <v>510</v>
      </c>
      <c r="C98">
        <v>0</v>
      </c>
      <c r="E98" s="47" t="s">
        <v>389</v>
      </c>
      <c r="F98" s="3" t="s">
        <v>33</v>
      </c>
      <c r="G98" s="13">
        <f>INDEX(C$2:C$1001, MATCH("*"&amp;F98&amp;"*",A$2:A$1001,0))</f>
        <v>157</v>
      </c>
      <c r="H98" s="38">
        <f t="shared" si="25"/>
        <v>1.1459435787015072E-3</v>
      </c>
      <c r="I98" s="38">
        <f t="shared" si="26"/>
        <v>5.371616651327337E-4</v>
      </c>
      <c r="J98" s="10">
        <f t="shared" si="27"/>
        <v>2.0917185266307743E-4</v>
      </c>
      <c r="K98" s="19"/>
      <c r="L98" s="12" t="s">
        <v>392</v>
      </c>
    </row>
    <row r="99" spans="1:12" x14ac:dyDescent="0.2">
      <c r="A99" t="s">
        <v>150</v>
      </c>
      <c r="B99" t="s">
        <v>511</v>
      </c>
      <c r="C99">
        <v>0</v>
      </c>
      <c r="E99" s="2" t="s">
        <v>364</v>
      </c>
      <c r="F99" s="3" t="s">
        <v>33</v>
      </c>
      <c r="G99" s="13">
        <f>G98-G100</f>
        <v>156</v>
      </c>
      <c r="H99" s="38">
        <f t="shared" si="25"/>
        <v>1.1386445750155103E-3</v>
      </c>
      <c r="I99" s="38">
        <f t="shared" si="26"/>
        <v>5.3374025325290736E-4</v>
      </c>
      <c r="J99" s="10">
        <f t="shared" si="27"/>
        <v>2.0783954786904511E-4</v>
      </c>
      <c r="K99" s="19"/>
      <c r="L99" s="12" t="s">
        <v>393</v>
      </c>
    </row>
    <row r="100" spans="1:12" x14ac:dyDescent="0.2">
      <c r="A100" t="s">
        <v>83</v>
      </c>
      <c r="B100" t="s">
        <v>512</v>
      </c>
      <c r="C100">
        <v>0</v>
      </c>
      <c r="E100" s="2" t="s">
        <v>6</v>
      </c>
      <c r="F100" s="3" t="s">
        <v>89</v>
      </c>
      <c r="G100" s="13">
        <f>INDEX(C$2:C$1001, MATCH("*"&amp;F100&amp;"*",A$2:A$1001,0))</f>
        <v>1</v>
      </c>
      <c r="H100" s="38">
        <f t="shared" si="25"/>
        <v>7.2990036859968617E-6</v>
      </c>
      <c r="I100" s="38">
        <f t="shared" si="26"/>
        <v>3.4214118798263293E-6</v>
      </c>
      <c r="J100" s="10">
        <f t="shared" si="27"/>
        <v>1.3323047940323403E-6</v>
      </c>
      <c r="K100" s="19"/>
      <c r="L100" s="12" t="s">
        <v>394</v>
      </c>
    </row>
    <row r="101" spans="1:12" x14ac:dyDescent="0.2">
      <c r="A101" t="s">
        <v>84</v>
      </c>
      <c r="B101" t="s">
        <v>513</v>
      </c>
      <c r="C101">
        <v>0</v>
      </c>
      <c r="E101" s="2" t="s">
        <v>363</v>
      </c>
      <c r="F101" s="3" t="s">
        <v>83</v>
      </c>
      <c r="G101" s="13">
        <f>INDEX(C$2:C$1001, MATCH("*"&amp;F101&amp;"*",A$2:A$1001,0))</f>
        <v>0</v>
      </c>
      <c r="H101" s="38">
        <f t="shared" si="25"/>
        <v>0</v>
      </c>
      <c r="I101" s="38">
        <f t="shared" si="26"/>
        <v>0</v>
      </c>
      <c r="J101" s="10">
        <f t="shared" si="27"/>
        <v>0</v>
      </c>
      <c r="K101" s="19"/>
      <c r="L101" s="12" t="s">
        <v>105</v>
      </c>
    </row>
    <row r="102" spans="1:12" x14ac:dyDescent="0.2">
      <c r="A102" t="s">
        <v>151</v>
      </c>
      <c r="B102" t="s">
        <v>514</v>
      </c>
      <c r="C102">
        <v>0</v>
      </c>
      <c r="E102" s="2" t="s">
        <v>366</v>
      </c>
      <c r="F102" s="3" t="s">
        <v>90</v>
      </c>
      <c r="G102" s="13">
        <f>INDEX(C$2:C$1001, MATCH("*"&amp;F102&amp;"*",A$2:A$1001,0))</f>
        <v>659</v>
      </c>
      <c r="H102" s="38">
        <f t="shared" si="25"/>
        <v>4.8100434290719316E-3</v>
      </c>
      <c r="I102" s="38">
        <f t="shared" si="26"/>
        <v>2.254710428805551E-3</v>
      </c>
      <c r="J102" s="10">
        <f t="shared" si="27"/>
        <v>8.7798885926731226E-4</v>
      </c>
      <c r="K102" s="19"/>
      <c r="L102" s="12" t="s">
        <v>102</v>
      </c>
    </row>
    <row r="103" spans="1:12" x14ac:dyDescent="0.2">
      <c r="A103" t="s">
        <v>85</v>
      </c>
      <c r="B103" t="s">
        <v>515</v>
      </c>
      <c r="C103">
        <v>0</v>
      </c>
      <c r="E103" s="2" t="s">
        <v>367</v>
      </c>
      <c r="F103" s="3" t="s">
        <v>91</v>
      </c>
      <c r="G103" s="13">
        <f>INDEX(C$2:C$1001, MATCH("*"&amp;F103&amp;"*",A$2:A$1001,0))</f>
        <v>651</v>
      </c>
      <c r="H103" s="38">
        <f t="shared" si="25"/>
        <v>4.751651399583957E-3</v>
      </c>
      <c r="I103" s="38">
        <f t="shared" si="26"/>
        <v>2.2273391337669403E-3</v>
      </c>
      <c r="J103" s="10">
        <f t="shared" si="27"/>
        <v>8.673304209150536E-4</v>
      </c>
      <c r="K103" s="19"/>
      <c r="L103" s="12" t="s">
        <v>103</v>
      </c>
    </row>
    <row r="104" spans="1:12" x14ac:dyDescent="0.2">
      <c r="A104" t="s">
        <v>86</v>
      </c>
      <c r="B104" t="s">
        <v>516</v>
      </c>
      <c r="C104">
        <v>0</v>
      </c>
      <c r="E104" s="2" t="s">
        <v>368</v>
      </c>
      <c r="G104" s="13">
        <f>G102-G103</f>
        <v>8</v>
      </c>
      <c r="H104" s="38">
        <f t="shared" si="25"/>
        <v>5.8392029487974893E-5</v>
      </c>
      <c r="I104" s="38">
        <f t="shared" si="26"/>
        <v>2.7371295038610635E-5</v>
      </c>
      <c r="J104" s="10">
        <f t="shared" si="27"/>
        <v>1.0658438352258722E-5</v>
      </c>
      <c r="K104" s="19"/>
      <c r="L104" s="12" t="s">
        <v>104</v>
      </c>
    </row>
    <row r="105" spans="1:12" x14ac:dyDescent="0.2">
      <c r="A105" t="s">
        <v>87</v>
      </c>
      <c r="B105" t="s">
        <v>517</v>
      </c>
      <c r="C105">
        <v>0</v>
      </c>
      <c r="E105" s="2" t="s">
        <v>113</v>
      </c>
      <c r="F105" s="3" t="s">
        <v>80</v>
      </c>
      <c r="G105" s="13">
        <f t="shared" ref="G105:G110" si="28">INDEX(C$2:C$1001, MATCH("*"&amp;F105&amp;"*",A$2:A$1001,0))</f>
        <v>0</v>
      </c>
      <c r="H105" s="38">
        <f t="shared" si="25"/>
        <v>0</v>
      </c>
      <c r="I105" s="38">
        <f t="shared" si="26"/>
        <v>0</v>
      </c>
      <c r="J105" s="10">
        <f t="shared" si="27"/>
        <v>0</v>
      </c>
      <c r="L105" s="12" t="s">
        <v>115</v>
      </c>
    </row>
    <row r="106" spans="1:12" x14ac:dyDescent="0.2">
      <c r="A106" t="s">
        <v>88</v>
      </c>
      <c r="B106" t="s">
        <v>518</v>
      </c>
      <c r="C106">
        <v>0</v>
      </c>
      <c r="E106" s="2" t="s">
        <v>114</v>
      </c>
      <c r="F106" s="3" t="s">
        <v>82</v>
      </c>
      <c r="G106" s="13">
        <f t="shared" si="28"/>
        <v>0</v>
      </c>
      <c r="H106" s="38">
        <f t="shared" si="25"/>
        <v>0</v>
      </c>
      <c r="I106" s="38">
        <f t="shared" si="26"/>
        <v>0</v>
      </c>
      <c r="J106" s="10">
        <f t="shared" si="27"/>
        <v>0</v>
      </c>
      <c r="L106" s="12" t="s">
        <v>116</v>
      </c>
    </row>
    <row r="107" spans="1:12" x14ac:dyDescent="0.2">
      <c r="A107" t="s">
        <v>218</v>
      </c>
      <c r="B107" t="s">
        <v>519</v>
      </c>
      <c r="C107">
        <v>0</v>
      </c>
      <c r="E107" s="2" t="s">
        <v>379</v>
      </c>
      <c r="F107" s="3" t="s">
        <v>71</v>
      </c>
      <c r="G107" s="13">
        <f t="shared" si="28"/>
        <v>0</v>
      </c>
      <c r="H107" s="38">
        <f t="shared" si="25"/>
        <v>0</v>
      </c>
      <c r="I107" s="38">
        <f t="shared" si="26"/>
        <v>0</v>
      </c>
      <c r="J107" s="10">
        <f t="shared" si="27"/>
        <v>0</v>
      </c>
      <c r="L107" s="12" t="s">
        <v>376</v>
      </c>
    </row>
    <row r="108" spans="1:12" x14ac:dyDescent="0.2">
      <c r="A108" t="s">
        <v>152</v>
      </c>
      <c r="B108" t="s">
        <v>520</v>
      </c>
      <c r="C108">
        <v>182</v>
      </c>
      <c r="E108" s="47" t="s">
        <v>378</v>
      </c>
      <c r="F108" s="3" t="s">
        <v>67</v>
      </c>
      <c r="G108" s="13">
        <f t="shared" si="28"/>
        <v>0</v>
      </c>
      <c r="H108" s="38">
        <f t="shared" si="25"/>
        <v>0</v>
      </c>
      <c r="I108" s="38">
        <f t="shared" si="26"/>
        <v>0</v>
      </c>
      <c r="J108" s="10">
        <f t="shared" si="27"/>
        <v>0</v>
      </c>
      <c r="K108" s="19"/>
      <c r="L108" s="12" t="s">
        <v>353</v>
      </c>
    </row>
    <row r="109" spans="1:12" x14ac:dyDescent="0.2">
      <c r="A109" t="s">
        <v>153</v>
      </c>
      <c r="B109" t="s">
        <v>521</v>
      </c>
      <c r="C109">
        <v>236</v>
      </c>
      <c r="E109" s="2" t="s">
        <v>352</v>
      </c>
      <c r="F109" s="3" t="s">
        <v>84</v>
      </c>
      <c r="G109" s="13">
        <f t="shared" si="28"/>
        <v>0</v>
      </c>
      <c r="H109" s="38">
        <f t="shared" si="25"/>
        <v>0</v>
      </c>
      <c r="I109" s="38">
        <f t="shared" si="26"/>
        <v>0</v>
      </c>
      <c r="J109" s="10">
        <f t="shared" si="27"/>
        <v>0</v>
      </c>
      <c r="K109" s="19"/>
      <c r="L109" s="12" t="s">
        <v>377</v>
      </c>
    </row>
    <row r="110" spans="1:12" x14ac:dyDescent="0.2">
      <c r="A110" t="s">
        <v>154</v>
      </c>
      <c r="B110" t="s">
        <v>522</v>
      </c>
      <c r="C110">
        <v>0</v>
      </c>
      <c r="E110" s="2" t="s">
        <v>374</v>
      </c>
      <c r="F110" s="48" t="s">
        <v>69</v>
      </c>
      <c r="G110" s="13">
        <f t="shared" si="28"/>
        <v>0</v>
      </c>
      <c r="H110" s="38">
        <f t="shared" si="25"/>
        <v>0</v>
      </c>
      <c r="I110" s="38">
        <f t="shared" si="26"/>
        <v>0</v>
      </c>
      <c r="J110" s="10">
        <f t="shared" si="27"/>
        <v>0</v>
      </c>
      <c r="K110" s="19"/>
      <c r="L110" s="12" t="s">
        <v>375</v>
      </c>
    </row>
    <row r="111" spans="1:12" x14ac:dyDescent="0.2">
      <c r="A111" t="s">
        <v>155</v>
      </c>
      <c r="B111" t="s">
        <v>523</v>
      </c>
      <c r="C111">
        <v>0</v>
      </c>
      <c r="E111" s="2" t="s">
        <v>380</v>
      </c>
      <c r="G111" s="13">
        <f>G107-G109</f>
        <v>0</v>
      </c>
      <c r="H111" s="38">
        <f t="shared" si="25"/>
        <v>0</v>
      </c>
      <c r="I111" s="38">
        <f t="shared" si="26"/>
        <v>0</v>
      </c>
      <c r="J111" s="10">
        <f t="shared" si="27"/>
        <v>0</v>
      </c>
      <c r="L111" s="12" t="s">
        <v>381</v>
      </c>
    </row>
    <row r="112" spans="1:12" x14ac:dyDescent="0.2">
      <c r="A112" t="s">
        <v>156</v>
      </c>
      <c r="B112" t="s">
        <v>524</v>
      </c>
      <c r="C112">
        <v>9</v>
      </c>
      <c r="E112" s="2" t="s">
        <v>382</v>
      </c>
      <c r="G112" s="13">
        <f>G108-G110</f>
        <v>0</v>
      </c>
      <c r="H112" s="38">
        <f t="shared" si="25"/>
        <v>0</v>
      </c>
      <c r="I112" s="38">
        <f t="shared" si="26"/>
        <v>0</v>
      </c>
      <c r="J112" s="10">
        <f t="shared" si="27"/>
        <v>0</v>
      </c>
      <c r="L112" s="12" t="s">
        <v>383</v>
      </c>
    </row>
    <row r="113" spans="1:12" x14ac:dyDescent="0.2">
      <c r="A113" t="s">
        <v>157</v>
      </c>
      <c r="B113" t="s">
        <v>525</v>
      </c>
      <c r="C113">
        <v>0</v>
      </c>
      <c r="E113" s="2" t="s">
        <v>372</v>
      </c>
      <c r="F113" s="48" t="s">
        <v>150</v>
      </c>
      <c r="G113" s="13">
        <f>INDEX(C$2:C$1001, MATCH("*"&amp;F113&amp;"*",A$2:A$1001,0))</f>
        <v>0</v>
      </c>
      <c r="H113" s="38">
        <f t="shared" si="25"/>
        <v>0</v>
      </c>
      <c r="I113" s="38">
        <f t="shared" si="26"/>
        <v>0</v>
      </c>
      <c r="J113" s="10">
        <f t="shared" si="27"/>
        <v>0</v>
      </c>
      <c r="K113" s="19"/>
      <c r="L113" s="12" t="s">
        <v>360</v>
      </c>
    </row>
    <row r="114" spans="1:12" x14ac:dyDescent="0.2">
      <c r="A114" t="s">
        <v>158</v>
      </c>
      <c r="B114" t="s">
        <v>526</v>
      </c>
      <c r="C114">
        <v>0</v>
      </c>
      <c r="E114" s="2" t="s">
        <v>355</v>
      </c>
      <c r="F114" s="48" t="s">
        <v>408</v>
      </c>
      <c r="G114" s="13">
        <f>INDEX(C$2:C$1001, MATCH("*"&amp;F114&amp;"*",A$2:A$1001,0))</f>
        <v>0</v>
      </c>
      <c r="H114" s="38">
        <f t="shared" si="25"/>
        <v>0</v>
      </c>
      <c r="I114" s="10">
        <f t="shared" si="26"/>
        <v>0</v>
      </c>
      <c r="J114" s="10">
        <f t="shared" si="27"/>
        <v>0</v>
      </c>
      <c r="K114" s="19"/>
      <c r="L114" s="12" t="s">
        <v>357</v>
      </c>
    </row>
    <row r="115" spans="1:12" x14ac:dyDescent="0.2">
      <c r="A115" t="s">
        <v>159</v>
      </c>
      <c r="B115" t="s">
        <v>527</v>
      </c>
      <c r="C115">
        <v>99</v>
      </c>
      <c r="E115" s="2" t="s">
        <v>354</v>
      </c>
      <c r="F115" s="3" t="s">
        <v>73</v>
      </c>
      <c r="G115" s="13">
        <f>INDEX(C$2:C$1001, MATCH("*"&amp;F115&amp;"*",A$2:A$1001,0))</f>
        <v>0</v>
      </c>
      <c r="H115" s="38">
        <f t="shared" si="25"/>
        <v>0</v>
      </c>
      <c r="I115" s="10">
        <f t="shared" si="26"/>
        <v>0</v>
      </c>
      <c r="J115" s="10">
        <f t="shared" si="27"/>
        <v>0</v>
      </c>
      <c r="K115" s="19"/>
      <c r="L115" s="12" t="s">
        <v>356</v>
      </c>
    </row>
    <row r="116" spans="1:12" x14ac:dyDescent="0.2">
      <c r="A116" t="s">
        <v>160</v>
      </c>
      <c r="B116" t="s">
        <v>528</v>
      </c>
      <c r="C116">
        <v>14</v>
      </c>
      <c r="E116" s="2" t="s">
        <v>358</v>
      </c>
      <c r="G116" s="13">
        <f>MAX(G122-G113,0)</f>
        <v>0</v>
      </c>
      <c r="H116" s="38">
        <f t="shared" si="25"/>
        <v>0</v>
      </c>
      <c r="I116" s="10">
        <f t="shared" si="26"/>
        <v>0</v>
      </c>
      <c r="J116" s="10">
        <f t="shared" si="27"/>
        <v>0</v>
      </c>
      <c r="L116" s="12" t="s">
        <v>359</v>
      </c>
    </row>
    <row r="117" spans="1:12" x14ac:dyDescent="0.2">
      <c r="A117" t="s">
        <v>161</v>
      </c>
      <c r="B117" t="s">
        <v>529</v>
      </c>
      <c r="C117">
        <v>314</v>
      </c>
    </row>
    <row r="118" spans="1:12" x14ac:dyDescent="0.2">
      <c r="A118" t="s">
        <v>162</v>
      </c>
      <c r="B118" t="s">
        <v>530</v>
      </c>
      <c r="C118">
        <v>0</v>
      </c>
      <c r="E118" s="6" t="s">
        <v>395</v>
      </c>
      <c r="F118" s="7"/>
      <c r="G118" s="8"/>
      <c r="H118" s="34"/>
      <c r="I118" s="34"/>
      <c r="J118" s="34"/>
      <c r="K118" s="20"/>
      <c r="L118" s="23"/>
    </row>
    <row r="119" spans="1:12" x14ac:dyDescent="0.2">
      <c r="A119" t="s">
        <v>163</v>
      </c>
      <c r="B119" t="s">
        <v>531</v>
      </c>
      <c r="C119">
        <v>0</v>
      </c>
      <c r="E119" s="2" t="s">
        <v>7</v>
      </c>
      <c r="F119" s="3" t="s">
        <v>51</v>
      </c>
      <c r="G119" s="46">
        <f t="shared" ref="G119:G124" si="29">INDEX(C$2:C$1001, MATCH("*"&amp;F119&amp;"*",A$2:A$1001,0))</f>
        <v>0</v>
      </c>
      <c r="H119" s="10">
        <f t="shared" ref="H119:H130" si="30">G119/G$6</f>
        <v>0</v>
      </c>
      <c r="I119" s="10">
        <f t="shared" ref="I119:I130" si="31">G119/G$31</f>
        <v>0</v>
      </c>
      <c r="J119" s="10">
        <f t="shared" ref="J119:J130" si="32">G119/G$5</f>
        <v>0</v>
      </c>
      <c r="K119" s="19"/>
      <c r="L119" s="22" t="s">
        <v>100</v>
      </c>
    </row>
    <row r="120" spans="1:12" x14ac:dyDescent="0.2">
      <c r="A120" t="s">
        <v>164</v>
      </c>
      <c r="B120" t="s">
        <v>532</v>
      </c>
      <c r="C120">
        <v>0</v>
      </c>
      <c r="E120" s="2" t="s">
        <v>199</v>
      </c>
      <c r="F120" s="3" t="s">
        <v>52</v>
      </c>
      <c r="G120" s="13">
        <f t="shared" si="29"/>
        <v>0</v>
      </c>
      <c r="H120" s="10">
        <f t="shared" si="30"/>
        <v>0</v>
      </c>
      <c r="I120" s="10">
        <f t="shared" si="31"/>
        <v>0</v>
      </c>
      <c r="J120" s="10">
        <f t="shared" si="32"/>
        <v>0</v>
      </c>
      <c r="K120" s="19"/>
      <c r="L120" s="12" t="s">
        <v>197</v>
      </c>
    </row>
    <row r="121" spans="1:12" x14ac:dyDescent="0.2">
      <c r="A121" t="s">
        <v>165</v>
      </c>
      <c r="B121" t="s">
        <v>533</v>
      </c>
      <c r="C121">
        <v>27</v>
      </c>
      <c r="E121" s="2" t="s">
        <v>200</v>
      </c>
      <c r="F121" s="3" t="s">
        <v>170</v>
      </c>
      <c r="G121" s="13">
        <f t="shared" si="29"/>
        <v>0</v>
      </c>
      <c r="H121" s="10">
        <f t="shared" si="30"/>
        <v>0</v>
      </c>
      <c r="I121" s="10">
        <f t="shared" si="31"/>
        <v>0</v>
      </c>
      <c r="J121" s="10">
        <f t="shared" si="32"/>
        <v>0</v>
      </c>
      <c r="K121" s="19"/>
      <c r="L121" s="12" t="s">
        <v>198</v>
      </c>
    </row>
    <row r="122" spans="1:12" x14ac:dyDescent="0.2">
      <c r="A122" t="s">
        <v>89</v>
      </c>
      <c r="B122" t="s">
        <v>534</v>
      </c>
      <c r="C122">
        <v>1</v>
      </c>
      <c r="E122" s="2" t="s">
        <v>9</v>
      </c>
      <c r="F122" s="3" t="s">
        <v>211</v>
      </c>
      <c r="G122" s="13">
        <f t="shared" si="29"/>
        <v>0</v>
      </c>
      <c r="H122" s="10">
        <f t="shared" si="30"/>
        <v>0</v>
      </c>
      <c r="I122" s="10">
        <f t="shared" si="31"/>
        <v>0</v>
      </c>
      <c r="J122" s="10">
        <f t="shared" si="32"/>
        <v>0</v>
      </c>
      <c r="K122" s="19"/>
      <c r="L122" s="12" t="s">
        <v>101</v>
      </c>
    </row>
    <row r="123" spans="1:12" x14ac:dyDescent="0.2">
      <c r="A123" t="s">
        <v>90</v>
      </c>
      <c r="B123" t="s">
        <v>535</v>
      </c>
      <c r="C123">
        <v>659</v>
      </c>
      <c r="E123" s="2" t="s">
        <v>201</v>
      </c>
      <c r="F123" s="3" t="s">
        <v>215</v>
      </c>
      <c r="G123" s="13">
        <f t="shared" si="29"/>
        <v>0</v>
      </c>
      <c r="H123" s="10">
        <f t="shared" si="30"/>
        <v>0</v>
      </c>
      <c r="I123" s="10">
        <f t="shared" si="31"/>
        <v>0</v>
      </c>
      <c r="J123" s="10">
        <f t="shared" si="32"/>
        <v>0</v>
      </c>
      <c r="K123" s="19"/>
      <c r="L123" s="12" t="s">
        <v>202</v>
      </c>
    </row>
    <row r="124" spans="1:12" x14ac:dyDescent="0.2">
      <c r="A124" t="s">
        <v>91</v>
      </c>
      <c r="B124" t="s">
        <v>536</v>
      </c>
      <c r="C124">
        <v>651</v>
      </c>
      <c r="E124" s="2" t="s">
        <v>204</v>
      </c>
      <c r="F124" s="3" t="s">
        <v>171</v>
      </c>
      <c r="G124" s="13">
        <f t="shared" si="29"/>
        <v>0</v>
      </c>
      <c r="H124" s="10">
        <f t="shared" si="30"/>
        <v>0</v>
      </c>
      <c r="I124" s="10">
        <f t="shared" si="31"/>
        <v>0</v>
      </c>
      <c r="J124" s="10">
        <f t="shared" si="32"/>
        <v>0</v>
      </c>
      <c r="K124" s="19"/>
      <c r="L124" s="12" t="s">
        <v>203</v>
      </c>
    </row>
    <row r="125" spans="1:12" x14ac:dyDescent="0.2">
      <c r="A125" t="s">
        <v>92</v>
      </c>
      <c r="B125" t="s">
        <v>537</v>
      </c>
      <c r="C125">
        <v>8</v>
      </c>
      <c r="E125" s="2" t="s">
        <v>10</v>
      </c>
      <c r="G125" s="13">
        <f>G123*32+G124*64+(G122-G123-G124)*8</f>
        <v>0</v>
      </c>
      <c r="H125" s="45">
        <f t="shared" si="30"/>
        <v>0</v>
      </c>
      <c r="I125" s="45">
        <f t="shared" si="31"/>
        <v>0</v>
      </c>
      <c r="J125" s="45">
        <f t="shared" si="32"/>
        <v>0</v>
      </c>
      <c r="K125" s="19"/>
      <c r="L125" s="12" t="s">
        <v>112</v>
      </c>
    </row>
    <row r="126" spans="1:12" x14ac:dyDescent="0.2">
      <c r="A126" t="s">
        <v>166</v>
      </c>
      <c r="B126" t="s">
        <v>538</v>
      </c>
      <c r="C126">
        <v>12</v>
      </c>
      <c r="D126"/>
      <c r="E126" s="2" t="s">
        <v>8</v>
      </c>
      <c r="G126" s="13">
        <f>G120*32+G121*64+(G119-G120-G121)*8</f>
        <v>0</v>
      </c>
      <c r="H126" s="45">
        <f t="shared" si="30"/>
        <v>0</v>
      </c>
      <c r="I126" s="45">
        <f t="shared" si="31"/>
        <v>0</v>
      </c>
      <c r="J126" s="45">
        <f t="shared" si="32"/>
        <v>0</v>
      </c>
      <c r="K126" s="19"/>
      <c r="L126" s="12" t="s">
        <v>111</v>
      </c>
    </row>
    <row r="127" spans="1:12" x14ac:dyDescent="0.2">
      <c r="A127" t="s">
        <v>167</v>
      </c>
      <c r="B127" t="s">
        <v>539</v>
      </c>
      <c r="C127">
        <v>0</v>
      </c>
      <c r="D127"/>
      <c r="E127" s="2" t="s">
        <v>400</v>
      </c>
      <c r="F127" s="3" t="s">
        <v>54</v>
      </c>
      <c r="G127" s="46">
        <f>INDEX(C$2:C$1001, MATCH("*"&amp;F127&amp;"*",A$2:A$1001,0))</f>
        <v>7218</v>
      </c>
      <c r="H127" s="10">
        <f t="shared" si="30"/>
        <v>5.2684208605525348E-2</v>
      </c>
      <c r="I127" s="10">
        <f t="shared" si="31"/>
        <v>2.4695750948586444E-2</v>
      </c>
      <c r="J127" s="10">
        <f t="shared" si="32"/>
        <v>9.6165760033254336E-3</v>
      </c>
      <c r="K127" s="19"/>
      <c r="L127" s="22" t="s">
        <v>402</v>
      </c>
    </row>
    <row r="128" spans="1:12" x14ac:dyDescent="0.2">
      <c r="A128" t="s">
        <v>168</v>
      </c>
      <c r="B128" t="s">
        <v>540</v>
      </c>
      <c r="C128">
        <v>0</v>
      </c>
      <c r="D128"/>
      <c r="E128" s="2" t="s">
        <v>401</v>
      </c>
      <c r="F128" s="3" t="s">
        <v>55</v>
      </c>
      <c r="G128" s="46">
        <f>INDEX(C$2:C$1001, MATCH("*"&amp;F128&amp;"*",A$2:A$1001,0))</f>
        <v>27834</v>
      </c>
      <c r="H128" s="10">
        <f t="shared" si="30"/>
        <v>0.20316046859603665</v>
      </c>
      <c r="I128" s="10">
        <f t="shared" si="31"/>
        <v>9.523157826308605E-2</v>
      </c>
      <c r="J128" s="10">
        <f t="shared" si="32"/>
        <v>3.7083371637096164E-2</v>
      </c>
      <c r="K128" s="19"/>
      <c r="L128" s="22" t="s">
        <v>403</v>
      </c>
    </row>
    <row r="129" spans="1:12" x14ac:dyDescent="0.2">
      <c r="A129" t="s">
        <v>169</v>
      </c>
      <c r="B129" t="s">
        <v>541</v>
      </c>
      <c r="C129">
        <v>0</v>
      </c>
      <c r="D129"/>
      <c r="E129" s="2" t="s">
        <v>396</v>
      </c>
      <c r="F129" s="3" t="s">
        <v>212</v>
      </c>
      <c r="G129" s="46">
        <f>INDEX(C$2:C$1001, MATCH("*"&amp;F129&amp;"*",A$2:A$1001,0))</f>
        <v>0</v>
      </c>
      <c r="H129" s="10">
        <f t="shared" si="30"/>
        <v>0</v>
      </c>
      <c r="I129" s="10">
        <f t="shared" si="31"/>
        <v>0</v>
      </c>
      <c r="J129" s="10">
        <f t="shared" si="32"/>
        <v>0</v>
      </c>
      <c r="K129" s="19"/>
      <c r="L129" s="22" t="s">
        <v>398</v>
      </c>
    </row>
    <row r="130" spans="1:12" x14ac:dyDescent="0.2">
      <c r="A130" t="s">
        <v>170</v>
      </c>
      <c r="B130" t="s">
        <v>542</v>
      </c>
      <c r="C130">
        <v>0</v>
      </c>
      <c r="D130"/>
      <c r="E130" s="2" t="s">
        <v>397</v>
      </c>
      <c r="F130" s="3" t="s">
        <v>214</v>
      </c>
      <c r="G130" s="46">
        <f>INDEX(C$2:C$1001, MATCH("*"&amp;F130&amp;"*",A$2:A$1001,0))</f>
        <v>0</v>
      </c>
      <c r="H130" s="10">
        <f t="shared" si="30"/>
        <v>0</v>
      </c>
      <c r="I130" s="10">
        <f t="shared" si="31"/>
        <v>0</v>
      </c>
      <c r="J130" s="10">
        <f t="shared" si="32"/>
        <v>0</v>
      </c>
      <c r="K130" s="19"/>
      <c r="L130" s="22" t="s">
        <v>399</v>
      </c>
    </row>
    <row r="131" spans="1:12" x14ac:dyDescent="0.2">
      <c r="A131" t="s">
        <v>171</v>
      </c>
      <c r="B131" t="s">
        <v>543</v>
      </c>
      <c r="C131">
        <v>0</v>
      </c>
      <c r="D131"/>
      <c r="E131" s="2" t="s">
        <v>404</v>
      </c>
      <c r="G131" s="13">
        <f>G119+G127+G129</f>
        <v>7218</v>
      </c>
      <c r="L131" s="12" t="s">
        <v>406</v>
      </c>
    </row>
    <row r="132" spans="1:12" x14ac:dyDescent="0.2">
      <c r="A132" t="s">
        <v>172</v>
      </c>
      <c r="B132" t="s">
        <v>544</v>
      </c>
      <c r="C132">
        <v>0</v>
      </c>
      <c r="D132"/>
      <c r="E132" s="2" t="s">
        <v>405</v>
      </c>
      <c r="G132" s="13">
        <f>G122+G128+G130</f>
        <v>27834</v>
      </c>
      <c r="L132" s="12" t="s">
        <v>407</v>
      </c>
    </row>
    <row r="133" spans="1:12" x14ac:dyDescent="0.2">
      <c r="A133" t="s">
        <v>173</v>
      </c>
      <c r="B133" t="s">
        <v>545</v>
      </c>
      <c r="C133">
        <v>12</v>
      </c>
      <c r="D133"/>
      <c r="H133" s="10"/>
      <c r="I133" s="10"/>
      <c r="J133" s="10"/>
      <c r="K133" s="19"/>
    </row>
    <row r="134" spans="1:12" x14ac:dyDescent="0.2">
      <c r="A134" t="s">
        <v>174</v>
      </c>
      <c r="B134" t="s">
        <v>546</v>
      </c>
      <c r="C134">
        <v>0</v>
      </c>
      <c r="E134" s="6" t="s">
        <v>128</v>
      </c>
      <c r="F134" s="7"/>
      <c r="G134" s="8"/>
      <c r="H134" s="20"/>
      <c r="I134" s="9"/>
      <c r="J134" s="20"/>
      <c r="K134" s="20"/>
      <c r="L134" s="23"/>
    </row>
    <row r="135" spans="1:12" x14ac:dyDescent="0.2">
      <c r="A135" t="s">
        <v>175</v>
      </c>
      <c r="B135" t="s">
        <v>547</v>
      </c>
      <c r="C135">
        <v>0</v>
      </c>
      <c r="E135" s="36" t="s">
        <v>129</v>
      </c>
      <c r="F135" s="32" t="s">
        <v>126</v>
      </c>
      <c r="G135" s="13">
        <f>INDEX(C$2:C$1001, MATCH("*"&amp;F135&amp;"*",A$2:A$1001,0))</f>
        <v>0</v>
      </c>
      <c r="H135" s="38">
        <f t="shared" ref="H135:H144" si="33">G135/G$6</f>
        <v>0</v>
      </c>
      <c r="I135" s="33"/>
      <c r="J135" s="19">
        <f t="shared" ref="J135:J144" si="34">G135/$G$5</f>
        <v>0</v>
      </c>
      <c r="L135" s="12" t="s">
        <v>131</v>
      </c>
    </row>
    <row r="136" spans="1:12" x14ac:dyDescent="0.2">
      <c r="A136" t="s">
        <v>176</v>
      </c>
      <c r="B136" t="s">
        <v>548</v>
      </c>
      <c r="C136">
        <v>0</v>
      </c>
      <c r="E136" s="36" t="s">
        <v>332</v>
      </c>
      <c r="F136" s="32" t="s">
        <v>185</v>
      </c>
      <c r="G136" s="13">
        <f>INDEX(C$2:C$1001, MATCH("*"&amp;F136&amp;"*",A$2:A$1001,0))</f>
        <v>0</v>
      </c>
      <c r="H136" s="38">
        <f t="shared" si="33"/>
        <v>0</v>
      </c>
      <c r="I136" s="33"/>
      <c r="J136" s="19">
        <f t="shared" si="34"/>
        <v>0</v>
      </c>
      <c r="L136" s="12" t="s">
        <v>333</v>
      </c>
    </row>
    <row r="137" spans="1:12" x14ac:dyDescent="0.2">
      <c r="A137" t="s">
        <v>177</v>
      </c>
      <c r="B137" t="s">
        <v>549</v>
      </c>
      <c r="C137">
        <v>0</v>
      </c>
      <c r="E137" s="36" t="s">
        <v>334</v>
      </c>
      <c r="F137" s="32" t="s">
        <v>186</v>
      </c>
      <c r="G137" s="13">
        <f>INDEX(C$2:C$1001, MATCH("*"&amp;F137&amp;"*",A$2:A$1001,0))</f>
        <v>0</v>
      </c>
      <c r="H137" s="38">
        <f t="shared" si="33"/>
        <v>0</v>
      </c>
      <c r="I137" s="33"/>
      <c r="J137" s="19">
        <f t="shared" si="34"/>
        <v>0</v>
      </c>
      <c r="L137" s="12" t="s">
        <v>335</v>
      </c>
    </row>
    <row r="138" spans="1:12" x14ac:dyDescent="0.2">
      <c r="A138" t="s">
        <v>178</v>
      </c>
      <c r="B138" t="s">
        <v>550</v>
      </c>
      <c r="C138">
        <v>0</v>
      </c>
      <c r="E138" s="36" t="s">
        <v>337</v>
      </c>
      <c r="F138" s="32" t="s">
        <v>130</v>
      </c>
      <c r="G138" s="13">
        <f>INDEX(C$2:C$1001, MATCH("*"&amp;F138&amp;"*",A$2:A$1001,0))</f>
        <v>0</v>
      </c>
      <c r="H138" s="38">
        <f t="shared" si="33"/>
        <v>0</v>
      </c>
      <c r="I138" s="33"/>
      <c r="J138" s="19">
        <f t="shared" si="34"/>
        <v>0</v>
      </c>
      <c r="L138" s="12" t="s">
        <v>336</v>
      </c>
    </row>
    <row r="139" spans="1:12" x14ac:dyDescent="0.2">
      <c r="A139" t="s">
        <v>179</v>
      </c>
      <c r="B139" t="s">
        <v>551</v>
      </c>
      <c r="C139">
        <v>0</v>
      </c>
      <c r="E139" s="36" t="s">
        <v>339</v>
      </c>
      <c r="G139" s="13">
        <f>G6-G135</f>
        <v>137005</v>
      </c>
      <c r="H139" s="38">
        <f t="shared" si="33"/>
        <v>1</v>
      </c>
      <c r="J139" s="19">
        <f t="shared" si="34"/>
        <v>0.1825324183064008</v>
      </c>
      <c r="L139" s="12" t="s">
        <v>338</v>
      </c>
    </row>
    <row r="140" spans="1:12" x14ac:dyDescent="0.2">
      <c r="A140" t="s">
        <v>180</v>
      </c>
      <c r="B140" t="s">
        <v>552</v>
      </c>
      <c r="C140">
        <v>0</v>
      </c>
      <c r="E140" s="36" t="s">
        <v>341</v>
      </c>
      <c r="F140" s="32" t="s">
        <v>191</v>
      </c>
      <c r="G140" s="13">
        <f>INDEX(C$2:C$1001, MATCH("*"&amp;F140&amp;"*",A$2:A$1001,0))</f>
        <v>0</v>
      </c>
      <c r="H140" s="38">
        <f t="shared" si="33"/>
        <v>0</v>
      </c>
      <c r="I140" s="33"/>
      <c r="J140" s="19">
        <f t="shared" si="34"/>
        <v>0</v>
      </c>
      <c r="L140" s="12" t="s">
        <v>344</v>
      </c>
    </row>
    <row r="141" spans="1:12" x14ac:dyDescent="0.2">
      <c r="A141" t="s">
        <v>181</v>
      </c>
      <c r="B141" t="s">
        <v>553</v>
      </c>
      <c r="C141">
        <v>0</v>
      </c>
      <c r="E141" s="36" t="s">
        <v>342</v>
      </c>
      <c r="F141" s="32" t="s">
        <v>127</v>
      </c>
      <c r="G141" s="13">
        <f>INDEX(C$2:C$1001, MATCH("*"&amp;F141&amp;"*",A$2:A$1001,0))</f>
        <v>0</v>
      </c>
      <c r="H141" s="38">
        <f t="shared" si="33"/>
        <v>0</v>
      </c>
      <c r="I141" s="33"/>
      <c r="J141" s="19">
        <f t="shared" si="34"/>
        <v>0</v>
      </c>
      <c r="L141" s="12" t="s">
        <v>340</v>
      </c>
    </row>
    <row r="142" spans="1:12" x14ac:dyDescent="0.2">
      <c r="A142" t="s">
        <v>182</v>
      </c>
      <c r="B142" t="s">
        <v>554</v>
      </c>
      <c r="C142">
        <v>323712</v>
      </c>
      <c r="E142" s="36" t="s">
        <v>343</v>
      </c>
      <c r="F142" s="32" t="s">
        <v>226</v>
      </c>
      <c r="G142" s="13">
        <f>INDEX(C$2:C$1001, MATCH("*"&amp;F142&amp;"*",A$2:A$1001,0))</f>
        <v>0</v>
      </c>
      <c r="H142" s="38">
        <f t="shared" si="33"/>
        <v>0</v>
      </c>
      <c r="I142" s="33"/>
      <c r="J142" s="19">
        <f t="shared" si="34"/>
        <v>0</v>
      </c>
      <c r="L142" s="12" t="s">
        <v>345</v>
      </c>
    </row>
    <row r="143" spans="1:12" x14ac:dyDescent="0.2">
      <c r="A143" t="s">
        <v>183</v>
      </c>
      <c r="B143" t="s">
        <v>555</v>
      </c>
      <c r="C143">
        <v>167275</v>
      </c>
      <c r="E143" s="36" t="s">
        <v>346</v>
      </c>
      <c r="F143" s="32" t="s">
        <v>189</v>
      </c>
      <c r="G143" s="13">
        <f>INDEX(C$2:C$1001, MATCH("*"&amp;F143&amp;"*",A$2:A$1001,0))</f>
        <v>0</v>
      </c>
      <c r="H143" s="38">
        <f t="shared" si="33"/>
        <v>0</v>
      </c>
      <c r="I143" s="33"/>
      <c r="J143" s="19">
        <f t="shared" si="34"/>
        <v>0</v>
      </c>
      <c r="L143" s="12" t="s">
        <v>348</v>
      </c>
    </row>
    <row r="144" spans="1:12" x14ac:dyDescent="0.2">
      <c r="A144" t="s">
        <v>219</v>
      </c>
      <c r="B144" t="s">
        <v>556</v>
      </c>
      <c r="C144">
        <v>25599</v>
      </c>
      <c r="E144" s="36" t="s">
        <v>347</v>
      </c>
      <c r="F144" s="32" t="s">
        <v>190</v>
      </c>
      <c r="G144" s="13">
        <f>INDEX(C$2:C$1001, MATCH("*"&amp;F144&amp;"*",A$2:A$1001,0))</f>
        <v>0</v>
      </c>
      <c r="H144" s="38">
        <f t="shared" si="33"/>
        <v>0</v>
      </c>
      <c r="I144" s="33"/>
      <c r="J144" s="19">
        <f t="shared" si="34"/>
        <v>0</v>
      </c>
      <c r="L144" s="12" t="s">
        <v>349</v>
      </c>
    </row>
    <row r="145" spans="1:12" x14ac:dyDescent="0.2">
      <c r="A145" t="s">
        <v>220</v>
      </c>
      <c r="B145" t="s">
        <v>557</v>
      </c>
      <c r="C145">
        <v>4006</v>
      </c>
      <c r="E145" s="36" t="s">
        <v>350</v>
      </c>
      <c r="G145" s="38" t="e">
        <f>(G141+G142)/G140</f>
        <v>#DIV/0!</v>
      </c>
      <c r="L145" s="12" t="s">
        <v>351</v>
      </c>
    </row>
    <row r="146" spans="1:12" x14ac:dyDescent="0.2">
      <c r="A146" t="s">
        <v>221</v>
      </c>
      <c r="B146" t="s">
        <v>558</v>
      </c>
      <c r="C146">
        <v>92982</v>
      </c>
    </row>
    <row r="147" spans="1:12" x14ac:dyDescent="0.2">
      <c r="A147" t="s">
        <v>222</v>
      </c>
      <c r="B147" t="s">
        <v>559</v>
      </c>
      <c r="C147">
        <v>0</v>
      </c>
    </row>
    <row r="148" spans="1:12" x14ac:dyDescent="0.2">
      <c r="A148" t="s">
        <v>223</v>
      </c>
      <c r="B148" t="s">
        <v>560</v>
      </c>
      <c r="C148">
        <v>0</v>
      </c>
    </row>
    <row r="149" spans="1:12" x14ac:dyDescent="0.2">
      <c r="A149" t="s">
        <v>413</v>
      </c>
      <c r="B149" t="s">
        <v>561</v>
      </c>
      <c r="C149">
        <v>0</v>
      </c>
    </row>
    <row r="150" spans="1:12" x14ac:dyDescent="0.2">
      <c r="A150" t="s">
        <v>125</v>
      </c>
      <c r="B150" t="s">
        <v>562</v>
      </c>
      <c r="C150">
        <v>136951</v>
      </c>
    </row>
    <row r="151" spans="1:12" x14ac:dyDescent="0.2">
      <c r="A151" t="s">
        <v>126</v>
      </c>
      <c r="B151" t="s">
        <v>563</v>
      </c>
      <c r="C151">
        <v>0</v>
      </c>
    </row>
    <row r="152" spans="1:12" x14ac:dyDescent="0.2">
      <c r="A152" t="s">
        <v>184</v>
      </c>
      <c r="B152" t="s">
        <v>564</v>
      </c>
      <c r="C152">
        <v>0</v>
      </c>
    </row>
    <row r="153" spans="1:12" x14ac:dyDescent="0.2">
      <c r="A153" t="s">
        <v>185</v>
      </c>
      <c r="B153" t="s">
        <v>565</v>
      </c>
      <c r="C153">
        <v>0</v>
      </c>
    </row>
    <row r="154" spans="1:12" x14ac:dyDescent="0.2">
      <c r="A154" t="s">
        <v>186</v>
      </c>
      <c r="B154" t="s">
        <v>566</v>
      </c>
      <c r="C154">
        <v>0</v>
      </c>
    </row>
    <row r="155" spans="1:12" x14ac:dyDescent="0.2">
      <c r="A155" t="s">
        <v>130</v>
      </c>
      <c r="B155" t="s">
        <v>567</v>
      </c>
      <c r="C155">
        <v>0</v>
      </c>
    </row>
    <row r="156" spans="1:12" x14ac:dyDescent="0.2">
      <c r="A156" t="s">
        <v>187</v>
      </c>
      <c r="B156" t="s">
        <v>568</v>
      </c>
      <c r="C156">
        <v>0</v>
      </c>
    </row>
    <row r="157" spans="1:12" x14ac:dyDescent="0.2">
      <c r="A157" t="s">
        <v>409</v>
      </c>
      <c r="B157" t="s">
        <v>569</v>
      </c>
      <c r="C157">
        <v>0</v>
      </c>
    </row>
    <row r="158" spans="1:12" x14ac:dyDescent="0.2">
      <c r="A158" t="s">
        <v>188</v>
      </c>
      <c r="B158" t="s">
        <v>570</v>
      </c>
      <c r="C158">
        <v>0</v>
      </c>
    </row>
    <row r="159" spans="1:12" x14ac:dyDescent="0.2">
      <c r="A159" t="s">
        <v>189</v>
      </c>
      <c r="B159" t="s">
        <v>571</v>
      </c>
      <c r="C159">
        <v>0</v>
      </c>
    </row>
    <row r="160" spans="1:12" x14ac:dyDescent="0.2">
      <c r="A160" t="s">
        <v>190</v>
      </c>
      <c r="B160" t="s">
        <v>572</v>
      </c>
      <c r="C160">
        <v>0</v>
      </c>
    </row>
    <row r="161" spans="1:3" x14ac:dyDescent="0.2">
      <c r="A161" t="s">
        <v>191</v>
      </c>
      <c r="B161" t="s">
        <v>573</v>
      </c>
      <c r="C161">
        <v>0</v>
      </c>
    </row>
    <row r="162" spans="1:3" x14ac:dyDescent="0.2">
      <c r="A162" t="s">
        <v>127</v>
      </c>
      <c r="B162" t="s">
        <v>574</v>
      </c>
      <c r="C162">
        <v>0</v>
      </c>
    </row>
    <row r="163" spans="1:3" x14ac:dyDescent="0.2">
      <c r="A163" t="s">
        <v>224</v>
      </c>
      <c r="B163" t="s">
        <v>575</v>
      </c>
      <c r="C163">
        <v>0</v>
      </c>
    </row>
    <row r="164" spans="1:3" x14ac:dyDescent="0.2">
      <c r="A164" t="s">
        <v>225</v>
      </c>
      <c r="B164" t="s">
        <v>576</v>
      </c>
      <c r="C164">
        <v>0</v>
      </c>
    </row>
    <row r="165" spans="1:3" x14ac:dyDescent="0.2">
      <c r="A165" t="s">
        <v>226</v>
      </c>
      <c r="B165" t="s">
        <v>414</v>
      </c>
      <c r="C165">
        <v>0</v>
      </c>
    </row>
    <row r="166" spans="1:3" x14ac:dyDescent="0.2">
      <c r="A166"/>
      <c r="B166"/>
      <c r="C166"/>
    </row>
    <row r="167" spans="1:3" x14ac:dyDescent="0.2">
      <c r="A167"/>
      <c r="B167"/>
      <c r="C167"/>
    </row>
    <row r="168" spans="1:3" x14ac:dyDescent="0.2">
      <c r="A168"/>
      <c r="B168"/>
      <c r="C168"/>
    </row>
    <row r="169" spans="1:3" x14ac:dyDescent="0.2">
      <c r="A169"/>
      <c r="B169"/>
      <c r="C169"/>
    </row>
    <row r="170" spans="1:3" x14ac:dyDescent="0.2">
      <c r="A170"/>
      <c r="B170"/>
      <c r="C170"/>
    </row>
    <row r="171" spans="1:3" x14ac:dyDescent="0.2">
      <c r="A171"/>
      <c r="B171"/>
      <c r="C171"/>
    </row>
    <row r="172" spans="1:3" x14ac:dyDescent="0.2">
      <c r="A172"/>
      <c r="B172"/>
      <c r="C172"/>
    </row>
    <row r="173" spans="1:3" x14ac:dyDescent="0.2">
      <c r="A173"/>
      <c r="B173"/>
      <c r="C173"/>
    </row>
    <row r="174" spans="1:3" x14ac:dyDescent="0.2">
      <c r="A174"/>
      <c r="B174"/>
      <c r="C174"/>
    </row>
    <row r="175" spans="1:3" x14ac:dyDescent="0.2">
      <c r="A175"/>
      <c r="B175"/>
      <c r="C175"/>
    </row>
    <row r="176" spans="1:3" x14ac:dyDescent="0.2">
      <c r="A176"/>
      <c r="B176"/>
      <c r="C176"/>
    </row>
    <row r="177" spans="1:3" x14ac:dyDescent="0.2">
      <c r="A177"/>
      <c r="B177"/>
      <c r="C177"/>
    </row>
    <row r="178" spans="1:3" x14ac:dyDescent="0.2">
      <c r="A178"/>
      <c r="B178"/>
      <c r="C178"/>
    </row>
    <row r="179" spans="1:3" x14ac:dyDescent="0.2">
      <c r="A179"/>
      <c r="B179"/>
      <c r="C179"/>
    </row>
    <row r="180" spans="1:3" x14ac:dyDescent="0.2">
      <c r="A180"/>
      <c r="B180"/>
      <c r="C180"/>
    </row>
    <row r="181" spans="1:3" x14ac:dyDescent="0.2">
      <c r="A181"/>
      <c r="B181"/>
      <c r="C181"/>
    </row>
    <row r="182" spans="1:3" x14ac:dyDescent="0.2">
      <c r="A182"/>
      <c r="B182"/>
      <c r="C182"/>
    </row>
    <row r="183" spans="1:3" x14ac:dyDescent="0.2">
      <c r="A183"/>
      <c r="B183"/>
      <c r="C183"/>
    </row>
    <row r="184" spans="1:3" x14ac:dyDescent="0.2">
      <c r="A184"/>
      <c r="B184"/>
      <c r="C184"/>
    </row>
    <row r="185" spans="1:3" x14ac:dyDescent="0.2">
      <c r="A185"/>
      <c r="B185"/>
      <c r="C185"/>
    </row>
    <row r="186" spans="1:3" x14ac:dyDescent="0.2">
      <c r="A186"/>
      <c r="B186"/>
      <c r="C186"/>
    </row>
    <row r="187" spans="1:3" x14ac:dyDescent="0.2">
      <c r="A187"/>
      <c r="B187"/>
      <c r="C187"/>
    </row>
    <row r="188" spans="1:3" x14ac:dyDescent="0.2">
      <c r="A188"/>
      <c r="B188"/>
      <c r="C188"/>
    </row>
    <row r="189" spans="1:3" x14ac:dyDescent="0.2">
      <c r="A189"/>
      <c r="B189"/>
      <c r="C189"/>
    </row>
    <row r="190" spans="1:3" x14ac:dyDescent="0.2">
      <c r="A190"/>
      <c r="B190"/>
      <c r="C190"/>
    </row>
    <row r="191" spans="1:3" x14ac:dyDescent="0.2">
      <c r="A191"/>
      <c r="B191"/>
      <c r="C191"/>
    </row>
    <row r="192" spans="1:3" x14ac:dyDescent="0.2">
      <c r="A192"/>
      <c r="B192"/>
      <c r="C192"/>
    </row>
    <row r="193" spans="1:3" x14ac:dyDescent="0.2">
      <c r="A193"/>
      <c r="B193"/>
      <c r="C193"/>
    </row>
    <row r="194" spans="1:3" x14ac:dyDescent="0.2">
      <c r="A194"/>
      <c r="B194"/>
      <c r="C194"/>
    </row>
    <row r="195" spans="1:3" x14ac:dyDescent="0.2">
      <c r="A195"/>
      <c r="B195"/>
      <c r="C195"/>
    </row>
    <row r="196" spans="1:3" x14ac:dyDescent="0.2">
      <c r="A196"/>
      <c r="B196"/>
      <c r="C196"/>
    </row>
    <row r="197" spans="1:3" x14ac:dyDescent="0.2">
      <c r="A197"/>
      <c r="B197"/>
      <c r="C197"/>
    </row>
    <row r="198" spans="1:3" x14ac:dyDescent="0.2">
      <c r="A198"/>
      <c r="B198"/>
      <c r="C198"/>
    </row>
    <row r="199" spans="1:3" x14ac:dyDescent="0.2">
      <c r="A199"/>
      <c r="B199"/>
      <c r="C199"/>
    </row>
    <row r="200" spans="1:3" x14ac:dyDescent="0.2">
      <c r="A200"/>
      <c r="B200"/>
      <c r="C200"/>
    </row>
    <row r="201" spans="1:3" x14ac:dyDescent="0.2">
      <c r="A201"/>
      <c r="B201"/>
      <c r="C201"/>
    </row>
    <row r="202" spans="1:3" x14ac:dyDescent="0.2">
      <c r="A202"/>
      <c r="B202"/>
      <c r="C202"/>
    </row>
    <row r="203" spans="1:3" x14ac:dyDescent="0.2">
      <c r="A203"/>
      <c r="B203"/>
      <c r="C203"/>
    </row>
    <row r="204" spans="1:3" x14ac:dyDescent="0.2">
      <c r="A204"/>
      <c r="B204"/>
      <c r="C204"/>
    </row>
    <row r="205" spans="1:3" x14ac:dyDescent="0.2">
      <c r="A205"/>
      <c r="B205"/>
      <c r="C205"/>
    </row>
    <row r="206" spans="1:3" x14ac:dyDescent="0.2">
      <c r="A206"/>
      <c r="B206"/>
      <c r="C206"/>
    </row>
    <row r="207" spans="1:3" x14ac:dyDescent="0.2">
      <c r="A207"/>
      <c r="B207"/>
      <c r="C207"/>
    </row>
    <row r="208" spans="1:3" x14ac:dyDescent="0.2">
      <c r="A208"/>
      <c r="B208"/>
      <c r="C208"/>
    </row>
    <row r="209" spans="1:3" x14ac:dyDescent="0.2">
      <c r="A209"/>
      <c r="B209"/>
      <c r="C209"/>
    </row>
    <row r="210" spans="1:3" x14ac:dyDescent="0.2">
      <c r="A210"/>
      <c r="B210"/>
      <c r="C210"/>
    </row>
    <row r="211" spans="1:3" x14ac:dyDescent="0.2">
      <c r="A211"/>
      <c r="B211"/>
      <c r="C211"/>
    </row>
    <row r="212" spans="1:3" x14ac:dyDescent="0.2">
      <c r="A212"/>
      <c r="B212"/>
      <c r="C212"/>
    </row>
    <row r="213" spans="1:3" x14ac:dyDescent="0.2">
      <c r="A213"/>
      <c r="B213"/>
      <c r="C213"/>
    </row>
    <row r="214" spans="1:3" x14ac:dyDescent="0.2">
      <c r="A214"/>
      <c r="B214"/>
      <c r="C214"/>
    </row>
    <row r="215" spans="1:3" x14ac:dyDescent="0.2">
      <c r="A215"/>
      <c r="B215"/>
      <c r="C215"/>
    </row>
    <row r="216" spans="1:3" x14ac:dyDescent="0.2">
      <c r="A216"/>
      <c r="B216"/>
      <c r="C216"/>
    </row>
    <row r="217" spans="1:3" x14ac:dyDescent="0.2">
      <c r="A217"/>
      <c r="B217"/>
      <c r="C217"/>
    </row>
    <row r="218" spans="1:3" x14ac:dyDescent="0.2">
      <c r="A218"/>
      <c r="B218"/>
      <c r="C218"/>
    </row>
    <row r="219" spans="1:3" x14ac:dyDescent="0.2">
      <c r="A219"/>
      <c r="B219"/>
      <c r="C219"/>
    </row>
    <row r="220" spans="1:3" x14ac:dyDescent="0.2">
      <c r="A220"/>
      <c r="B220"/>
      <c r="C220"/>
    </row>
    <row r="221" spans="1:3" x14ac:dyDescent="0.2">
      <c r="A221"/>
      <c r="B221"/>
      <c r="C221"/>
    </row>
    <row r="222" spans="1:3" x14ac:dyDescent="0.2">
      <c r="A222"/>
      <c r="B222"/>
      <c r="C222"/>
    </row>
    <row r="223" spans="1:3" x14ac:dyDescent="0.2">
      <c r="A223"/>
      <c r="B223"/>
      <c r="C223"/>
    </row>
    <row r="224" spans="1:3" x14ac:dyDescent="0.2">
      <c r="A224"/>
      <c r="B224"/>
      <c r="C224"/>
    </row>
    <row r="225" spans="1:3" x14ac:dyDescent="0.2">
      <c r="A225"/>
      <c r="B225"/>
      <c r="C225"/>
    </row>
    <row r="226" spans="1:3" x14ac:dyDescent="0.2">
      <c r="A226"/>
      <c r="B226"/>
      <c r="C226"/>
    </row>
    <row r="227" spans="1:3" x14ac:dyDescent="0.2">
      <c r="A227"/>
      <c r="B227"/>
      <c r="C227"/>
    </row>
    <row r="228" spans="1:3" x14ac:dyDescent="0.2">
      <c r="A228"/>
      <c r="B228"/>
      <c r="C228"/>
    </row>
    <row r="229" spans="1:3" x14ac:dyDescent="0.2">
      <c r="A229"/>
      <c r="B229"/>
      <c r="C229"/>
    </row>
    <row r="230" spans="1:3" x14ac:dyDescent="0.2">
      <c r="A230"/>
      <c r="B230"/>
      <c r="C230"/>
    </row>
    <row r="231" spans="1:3" x14ac:dyDescent="0.2">
      <c r="A231"/>
      <c r="B231"/>
      <c r="C231"/>
    </row>
    <row r="232" spans="1:3" x14ac:dyDescent="0.2">
      <c r="A232"/>
      <c r="B232"/>
      <c r="C232"/>
    </row>
    <row r="233" spans="1:3" x14ac:dyDescent="0.2">
      <c r="A233"/>
      <c r="B233"/>
      <c r="C233"/>
    </row>
    <row r="234" spans="1:3" x14ac:dyDescent="0.2">
      <c r="A234"/>
      <c r="B234"/>
      <c r="C234"/>
    </row>
    <row r="235" spans="1:3" x14ac:dyDescent="0.2">
      <c r="A235"/>
      <c r="B235"/>
      <c r="C235"/>
    </row>
    <row r="236" spans="1:3" x14ac:dyDescent="0.2">
      <c r="A236"/>
      <c r="B236"/>
      <c r="C236"/>
    </row>
    <row r="237" spans="1:3" x14ac:dyDescent="0.2">
      <c r="A237"/>
      <c r="B237"/>
      <c r="C237"/>
    </row>
    <row r="238" spans="1:3" x14ac:dyDescent="0.2">
      <c r="A238"/>
      <c r="B238"/>
      <c r="C238"/>
    </row>
    <row r="239" spans="1:3" x14ac:dyDescent="0.2">
      <c r="A239"/>
      <c r="B239"/>
      <c r="C239"/>
    </row>
    <row r="240" spans="1:3" x14ac:dyDescent="0.2">
      <c r="A240"/>
      <c r="B240"/>
      <c r="C240"/>
    </row>
    <row r="241" spans="1:3" x14ac:dyDescent="0.2">
      <c r="A241"/>
      <c r="B241"/>
      <c r="C241"/>
    </row>
    <row r="242" spans="1:3" x14ac:dyDescent="0.2">
      <c r="A242"/>
      <c r="B242"/>
      <c r="C242"/>
    </row>
    <row r="243" spans="1:3" x14ac:dyDescent="0.2">
      <c r="A243"/>
      <c r="B243"/>
      <c r="C243"/>
    </row>
    <row r="244" spans="1:3" x14ac:dyDescent="0.2">
      <c r="A244"/>
      <c r="B244"/>
      <c r="C244"/>
    </row>
    <row r="245" spans="1:3" x14ac:dyDescent="0.2">
      <c r="A245"/>
      <c r="B245"/>
      <c r="C245"/>
    </row>
    <row r="246" spans="1:3" x14ac:dyDescent="0.2">
      <c r="A246"/>
      <c r="B246"/>
      <c r="C246"/>
    </row>
    <row r="247" spans="1:3" x14ac:dyDescent="0.2">
      <c r="A247"/>
      <c r="B247"/>
      <c r="C247"/>
    </row>
    <row r="248" spans="1:3" x14ac:dyDescent="0.2">
      <c r="A248"/>
      <c r="B248"/>
      <c r="C248"/>
    </row>
    <row r="249" spans="1:3" x14ac:dyDescent="0.2">
      <c r="A249"/>
      <c r="B249"/>
      <c r="C249"/>
    </row>
    <row r="250" spans="1:3" x14ac:dyDescent="0.2">
      <c r="A250"/>
      <c r="B250"/>
      <c r="C250"/>
    </row>
    <row r="251" spans="1:3" x14ac:dyDescent="0.2">
      <c r="A251"/>
      <c r="B251"/>
      <c r="C251"/>
    </row>
    <row r="252" spans="1:3" x14ac:dyDescent="0.2">
      <c r="A252"/>
      <c r="B252"/>
      <c r="C252"/>
    </row>
    <row r="253" spans="1:3" x14ac:dyDescent="0.2">
      <c r="A253"/>
      <c r="B253"/>
      <c r="C253"/>
    </row>
    <row r="254" spans="1:3" x14ac:dyDescent="0.2">
      <c r="A254"/>
      <c r="B254"/>
      <c r="C254"/>
    </row>
    <row r="255" spans="1:3" x14ac:dyDescent="0.2">
      <c r="A255"/>
      <c r="B255"/>
      <c r="C255"/>
    </row>
    <row r="256" spans="1:3" x14ac:dyDescent="0.2">
      <c r="A256"/>
      <c r="B256"/>
      <c r="C256"/>
    </row>
    <row r="257" spans="1:3" x14ac:dyDescent="0.2">
      <c r="A257"/>
      <c r="B257"/>
      <c r="C257"/>
    </row>
    <row r="258" spans="1:3" x14ac:dyDescent="0.2">
      <c r="A258"/>
      <c r="B258"/>
      <c r="C258"/>
    </row>
    <row r="259" spans="1:3" x14ac:dyDescent="0.2">
      <c r="A259"/>
      <c r="B259"/>
      <c r="C259"/>
    </row>
    <row r="260" spans="1:3" x14ac:dyDescent="0.2">
      <c r="A260"/>
      <c r="B260"/>
      <c r="C260"/>
    </row>
    <row r="261" spans="1:3" x14ac:dyDescent="0.2">
      <c r="A261"/>
      <c r="B261"/>
      <c r="C261"/>
    </row>
    <row r="262" spans="1:3" x14ac:dyDescent="0.2">
      <c r="A262"/>
      <c r="B262"/>
      <c r="C262"/>
    </row>
    <row r="263" spans="1:3" x14ac:dyDescent="0.2">
      <c r="A263"/>
      <c r="B263"/>
      <c r="C263"/>
    </row>
    <row r="264" spans="1:3" x14ac:dyDescent="0.2">
      <c r="A264"/>
      <c r="B264"/>
      <c r="C264"/>
    </row>
    <row r="265" spans="1:3" x14ac:dyDescent="0.2">
      <c r="A265"/>
      <c r="B265"/>
      <c r="C265"/>
    </row>
    <row r="266" spans="1:3" x14ac:dyDescent="0.2">
      <c r="A266"/>
      <c r="B266"/>
      <c r="C266"/>
    </row>
    <row r="267" spans="1:3" x14ac:dyDescent="0.2">
      <c r="A267"/>
      <c r="B267"/>
      <c r="C267"/>
    </row>
    <row r="268" spans="1:3" x14ac:dyDescent="0.2">
      <c r="A268"/>
      <c r="B268"/>
      <c r="C268"/>
    </row>
  </sheetData>
  <mergeCells count="2">
    <mergeCell ref="E1:L1"/>
    <mergeCell ref="A1:C1"/>
  </mergeCells>
  <conditionalFormatting sqref="G23">
    <cfRule type="containsErrors" dxfId="67" priority="155">
      <formula>ISERROR(G23)</formula>
    </cfRule>
  </conditionalFormatting>
  <conditionalFormatting sqref="G27 K24:K26 J24:J27 G22:I26 G67:I80 G55 J55 G45:G51 G9:K12 G2:K6 G38:K38 G30:K34 G40:K43 G14:K14 G54:K54 G90:K91 G88:K88 G134:K134 H45:K50 J70:J78 G207:K1048576 J67:K69 J79:K80 G28:K28 J22:K23 G108:K108 H94:K94 K81 G93:K93 G152:K194 G118:K126 G99:K99 G100:H104 J100:K104 I100:I105">
    <cfRule type="containsErrors" dxfId="66" priority="154">
      <formula>ISERROR(G2)</formula>
    </cfRule>
  </conditionalFormatting>
  <conditionalFormatting sqref="G135">
    <cfRule type="containsErrors" dxfId="65" priority="152">
      <formula>ISERROR(G135)</formula>
    </cfRule>
  </conditionalFormatting>
  <conditionalFormatting sqref="G17">
    <cfRule type="containsErrors" dxfId="64" priority="128">
      <formula>ISERROR(G17)</formula>
    </cfRule>
  </conditionalFormatting>
  <conditionalFormatting sqref="K51">
    <cfRule type="containsErrors" dxfId="63" priority="124">
      <formula>ISERROR(K51)</formula>
    </cfRule>
  </conditionalFormatting>
  <conditionalFormatting sqref="H51:J51">
    <cfRule type="containsErrors" dxfId="62" priority="120">
      <formula>ISERROR(H51)</formula>
    </cfRule>
  </conditionalFormatting>
  <conditionalFormatting sqref="G52">
    <cfRule type="containsErrors" dxfId="61" priority="119">
      <formula>ISERROR(G52)</formula>
    </cfRule>
  </conditionalFormatting>
  <conditionalFormatting sqref="K52">
    <cfRule type="containsErrors" dxfId="60" priority="118">
      <formula>ISERROR(K52)</formula>
    </cfRule>
  </conditionalFormatting>
  <conditionalFormatting sqref="H52:J52">
    <cfRule type="containsErrors" dxfId="59" priority="117">
      <formula>ISERROR(H52)</formula>
    </cfRule>
  </conditionalFormatting>
  <conditionalFormatting sqref="G53">
    <cfRule type="containsErrors" dxfId="58" priority="116">
      <formula>ISERROR(G53)</formula>
    </cfRule>
  </conditionalFormatting>
  <conditionalFormatting sqref="K53">
    <cfRule type="containsErrors" dxfId="57" priority="115">
      <formula>ISERROR(K53)</formula>
    </cfRule>
  </conditionalFormatting>
  <conditionalFormatting sqref="H53:J53">
    <cfRule type="containsErrors" dxfId="56" priority="114">
      <formula>ISERROR(H53)</formula>
    </cfRule>
  </conditionalFormatting>
  <conditionalFormatting sqref="G94">
    <cfRule type="containsErrors" dxfId="55" priority="100">
      <formula>ISERROR(G94)</formula>
    </cfRule>
  </conditionalFormatting>
  <conditionalFormatting sqref="K82">
    <cfRule type="containsErrors" dxfId="54" priority="96">
      <formula>ISERROR(K82)</formula>
    </cfRule>
  </conditionalFormatting>
  <conditionalFormatting sqref="G83:K83">
    <cfRule type="containsErrors" dxfId="53" priority="94">
      <formula>ISERROR(G83)</formula>
    </cfRule>
  </conditionalFormatting>
  <conditionalFormatting sqref="G89:K89">
    <cfRule type="containsErrors" dxfId="52" priority="93">
      <formula>ISERROR(G89)</formula>
    </cfRule>
  </conditionalFormatting>
  <conditionalFormatting sqref="G39:K39">
    <cfRule type="containsErrors" dxfId="51" priority="91">
      <formula>ISERROR(G39)</formula>
    </cfRule>
  </conditionalFormatting>
  <conditionalFormatting sqref="H8:K8">
    <cfRule type="containsErrors" dxfId="50" priority="90">
      <formula>ISERROR(H8)</formula>
    </cfRule>
  </conditionalFormatting>
  <conditionalFormatting sqref="H55:I55 K55">
    <cfRule type="containsErrors" dxfId="49" priority="89">
      <formula>ISERROR(H55)</formula>
    </cfRule>
  </conditionalFormatting>
  <conditionalFormatting sqref="G86">
    <cfRule type="containsErrors" dxfId="48" priority="88">
      <formula>ISERROR(G86)</formula>
    </cfRule>
  </conditionalFormatting>
  <conditionalFormatting sqref="G56:G62 H56:K61">
    <cfRule type="containsErrors" dxfId="47" priority="87">
      <formula>ISERROR(G56)</formula>
    </cfRule>
  </conditionalFormatting>
  <conditionalFormatting sqref="K62">
    <cfRule type="containsErrors" dxfId="46" priority="86">
      <formula>ISERROR(K62)</formula>
    </cfRule>
  </conditionalFormatting>
  <conditionalFormatting sqref="H62:J62">
    <cfRule type="containsErrors" dxfId="45" priority="85">
      <formula>ISERROR(H62)</formula>
    </cfRule>
  </conditionalFormatting>
  <conditionalFormatting sqref="G63">
    <cfRule type="containsErrors" dxfId="44" priority="84">
      <formula>ISERROR(G63)</formula>
    </cfRule>
  </conditionalFormatting>
  <conditionalFormatting sqref="K63">
    <cfRule type="containsErrors" dxfId="43" priority="83">
      <formula>ISERROR(K63)</formula>
    </cfRule>
  </conditionalFormatting>
  <conditionalFormatting sqref="H63:J63">
    <cfRule type="containsErrors" dxfId="42" priority="82">
      <formula>ISERROR(H63)</formula>
    </cfRule>
  </conditionalFormatting>
  <conditionalFormatting sqref="G64">
    <cfRule type="containsErrors" dxfId="41" priority="81">
      <formula>ISERROR(G64)</formula>
    </cfRule>
  </conditionalFormatting>
  <conditionalFormatting sqref="K64">
    <cfRule type="containsErrors" dxfId="40" priority="80">
      <formula>ISERROR(K64)</formula>
    </cfRule>
  </conditionalFormatting>
  <conditionalFormatting sqref="H64:J64">
    <cfRule type="containsErrors" dxfId="39" priority="79">
      <formula>ISERROR(H64)</formula>
    </cfRule>
  </conditionalFormatting>
  <conditionalFormatting sqref="G65:K65">
    <cfRule type="containsErrors" dxfId="38" priority="78">
      <formula>ISERROR(G65)</formula>
    </cfRule>
  </conditionalFormatting>
  <conditionalFormatting sqref="G35:K35">
    <cfRule type="containsErrors" dxfId="37" priority="77">
      <formula>ISERROR(G35)</formula>
    </cfRule>
  </conditionalFormatting>
  <conditionalFormatting sqref="G136">
    <cfRule type="containsErrors" dxfId="36" priority="76">
      <formula>ISERROR(G136)</formula>
    </cfRule>
  </conditionalFormatting>
  <conditionalFormatting sqref="G137">
    <cfRule type="containsErrors" dxfId="35" priority="75">
      <formula>ISERROR(G137)</formula>
    </cfRule>
  </conditionalFormatting>
  <conditionalFormatting sqref="G138">
    <cfRule type="containsErrors" dxfId="34" priority="74">
      <formula>ISERROR(G138)</formula>
    </cfRule>
  </conditionalFormatting>
  <conditionalFormatting sqref="J135:J139">
    <cfRule type="containsErrors" dxfId="33" priority="72">
      <formula>ISERROR(J135)</formula>
    </cfRule>
  </conditionalFormatting>
  <conditionalFormatting sqref="J141">
    <cfRule type="containsErrors" dxfId="32" priority="70">
      <formula>ISERROR(J141)</formula>
    </cfRule>
  </conditionalFormatting>
  <conditionalFormatting sqref="J140">
    <cfRule type="containsErrors" dxfId="31" priority="68">
      <formula>ISERROR(J140)</formula>
    </cfRule>
  </conditionalFormatting>
  <conditionalFormatting sqref="G141">
    <cfRule type="containsErrors" dxfId="30" priority="71">
      <formula>ISERROR(G141)</formula>
    </cfRule>
  </conditionalFormatting>
  <conditionalFormatting sqref="J144">
    <cfRule type="containsErrors" dxfId="29" priority="62">
      <formula>ISERROR(J144)</formula>
    </cfRule>
  </conditionalFormatting>
  <conditionalFormatting sqref="G140">
    <cfRule type="containsErrors" dxfId="28" priority="69">
      <formula>ISERROR(G140)</formula>
    </cfRule>
  </conditionalFormatting>
  <conditionalFormatting sqref="J142">
    <cfRule type="containsErrors" dxfId="27" priority="66">
      <formula>ISERROR(J142)</formula>
    </cfRule>
  </conditionalFormatting>
  <conditionalFormatting sqref="G142">
    <cfRule type="containsErrors" dxfId="26" priority="67">
      <formula>ISERROR(G142)</formula>
    </cfRule>
  </conditionalFormatting>
  <conditionalFormatting sqref="J143">
    <cfRule type="containsErrors" dxfId="25" priority="64">
      <formula>ISERROR(J143)</formula>
    </cfRule>
  </conditionalFormatting>
  <conditionalFormatting sqref="G143">
    <cfRule type="containsErrors" dxfId="24" priority="65">
      <formula>ISERROR(G143)</formula>
    </cfRule>
  </conditionalFormatting>
  <conditionalFormatting sqref="G144">
    <cfRule type="containsErrors" dxfId="23" priority="63">
      <formula>ISERROR(G144)</formula>
    </cfRule>
  </conditionalFormatting>
  <conditionalFormatting sqref="G109:K109">
    <cfRule type="containsErrors" dxfId="22" priority="39">
      <formula>ISERROR(G109)</formula>
    </cfRule>
  </conditionalFormatting>
  <conditionalFormatting sqref="G114:K114">
    <cfRule type="containsErrors" dxfId="21" priority="38">
      <formula>ISERROR(G114)</formula>
    </cfRule>
  </conditionalFormatting>
  <conditionalFormatting sqref="G116">
    <cfRule type="containsErrors" dxfId="20" priority="33">
      <formula>ISERROR(G116)</formula>
    </cfRule>
  </conditionalFormatting>
  <conditionalFormatting sqref="G115:K115">
    <cfRule type="containsErrors" dxfId="19" priority="35">
      <formula>ISERROR(G115)</formula>
    </cfRule>
  </conditionalFormatting>
  <conditionalFormatting sqref="G113:K113">
    <cfRule type="containsErrors" dxfId="18" priority="34">
      <formula>ISERROR(G113)</formula>
    </cfRule>
  </conditionalFormatting>
  <conditionalFormatting sqref="H116:J116">
    <cfRule type="containsErrors" dxfId="17" priority="32">
      <formula>ISERROR(H116)</formula>
    </cfRule>
  </conditionalFormatting>
  <conditionalFormatting sqref="G97:K97">
    <cfRule type="containsErrors" dxfId="16" priority="30">
      <formula>ISERROR(G97)</formula>
    </cfRule>
  </conditionalFormatting>
  <conditionalFormatting sqref="G81:J81">
    <cfRule type="containsErrors" dxfId="15" priority="29">
      <formula>ISERROR(G81)</formula>
    </cfRule>
  </conditionalFormatting>
  <conditionalFormatting sqref="G82:J82">
    <cfRule type="containsErrors" dxfId="14" priority="28">
      <formula>ISERROR(G82)</formula>
    </cfRule>
  </conditionalFormatting>
  <conditionalFormatting sqref="G110:K110">
    <cfRule type="containsErrors" dxfId="13" priority="17">
      <formula>ISERROR(G110)</formula>
    </cfRule>
  </conditionalFormatting>
  <conditionalFormatting sqref="H95:K95">
    <cfRule type="containsErrors" dxfId="12" priority="16">
      <formula>ISERROR(H95)</formula>
    </cfRule>
  </conditionalFormatting>
  <conditionalFormatting sqref="G95">
    <cfRule type="containsErrors" dxfId="11" priority="15">
      <formula>ISERROR(G95)</formula>
    </cfRule>
  </conditionalFormatting>
  <conditionalFormatting sqref="G96:K96">
    <cfRule type="containsErrors" dxfId="10" priority="14">
      <formula>ISERROR(G96)</formula>
    </cfRule>
  </conditionalFormatting>
  <conditionalFormatting sqref="G98:K98">
    <cfRule type="containsErrors" dxfId="9" priority="13">
      <formula>ISERROR(G98)</formula>
    </cfRule>
  </conditionalFormatting>
  <conditionalFormatting sqref="G129:K129 G133:K133">
    <cfRule type="containsErrors" dxfId="8" priority="12">
      <formula>ISERROR(G129)</formula>
    </cfRule>
  </conditionalFormatting>
  <conditionalFormatting sqref="G130:K130">
    <cfRule type="containsErrors" dxfId="7" priority="11">
      <formula>ISERROR(G130)</formula>
    </cfRule>
  </conditionalFormatting>
  <conditionalFormatting sqref="G127:K127">
    <cfRule type="containsErrors" dxfId="6" priority="10">
      <formula>ISERROR(G127)</formula>
    </cfRule>
  </conditionalFormatting>
  <conditionalFormatting sqref="G128:K128">
    <cfRule type="containsErrors" dxfId="5" priority="9">
      <formula>ISERROR(G128)</formula>
    </cfRule>
  </conditionalFormatting>
  <conditionalFormatting sqref="G18">
    <cfRule type="containsErrors" dxfId="4" priority="5">
      <formula>ISERROR(G18)</formula>
    </cfRule>
  </conditionalFormatting>
  <conditionalFormatting sqref="G19">
    <cfRule type="containsErrors" dxfId="3" priority="4">
      <formula>ISERROR(G19)</formula>
    </cfRule>
  </conditionalFormatting>
  <conditionalFormatting sqref="G20">
    <cfRule type="containsErrors" dxfId="2" priority="3">
      <formula>ISERROR(G20)</formula>
    </cfRule>
  </conditionalFormatting>
  <conditionalFormatting sqref="G36:K36">
    <cfRule type="containsErrors" dxfId="1" priority="2">
      <formula>ISERROR(G36)</formula>
    </cfRule>
  </conditionalFormatting>
  <conditionalFormatting sqref="G37:K37">
    <cfRule type="containsErrors" dxfId="0" priority="1">
      <formula>ISERROR(G37)</formula>
    </cfRule>
  </conditionalFormatting>
  <dataValidations xWindow="766" yWindow="238" count="1">
    <dataValidation allowBlank="1" showErrorMessage="1" prompt="Overall pcycle efficiency.  To improve, increase thread concurrency or reduce stalls or replays of running threads._x000a_" sqref="G12"/>
  </dataValidations>
  <hyperlinks>
    <hyperlink ref="A1:C1" r:id="rId1" display="(link to PMU descriptions)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9217" r:id="rId5" name="LoadPmuStatsFile">
          <controlPr autoLine="0" autoPict="0" r:id="rId6">
            <anchor moveWithCells="1">
              <from>
                <xdr:col>11</xdr:col>
                <xdr:colOff>4333875</xdr:colOff>
                <xdr:row>0</xdr:row>
                <xdr:rowOff>0</xdr:rowOff>
              </from>
              <to>
                <xdr:col>11</xdr:col>
                <xdr:colOff>5572125</xdr:colOff>
                <xdr:row>1</xdr:row>
                <xdr:rowOff>47625</xdr:rowOff>
              </to>
            </anchor>
          </controlPr>
        </control>
      </mc:Choice>
      <mc:Fallback>
        <control shapeId="9217" r:id="rId5" name="LoadPmuStatsFile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c260b42-f1b0-4123-bc4d-9a2f0f594992"/>
    <IconOverlay xmlns="http://schemas.microsoft.com/sharepoint/v4" xsi:nil="true"/>
    <ffb1d9cf5a5a4ee3bc0eb8692be347f6 xmlns="3b5ba2f1-c1ec-4383-9a92-34c1c420fb47">
      <Terms xmlns="http://schemas.microsoft.com/office/infopath/2007/PartnerControls"/>
    </ffb1d9cf5a5a4ee3bc0eb8692be347f6>
    <_dlc_DocId xmlns="ec260b42-f1b0-4123-bc4d-9a2f0f594992">JYWNKVCQADWQ-424-3581</_dlc_DocId>
    <_dlc_DocIdUrl xmlns="ec260b42-f1b0-4123-bc4d-9a2f0f594992">
      <Url>http://sharepoint/qct/Modem-Tech/QDSP6/_layouts/DocIdRedir.aspx?ID=JYWNKVCQADWQ-424-3581</Url>
      <Description>JYWNKVCQADWQ-424-3581</Description>
    </_dlc_DocIdUrl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QDSP Document" ma:contentTypeID="0x010100F2CEE95F68733E49BA8521C37200612E00429C20686C88F244BFE1BB581E0EB682" ma:contentTypeVersion="4" ma:contentTypeDescription="" ma:contentTypeScope="" ma:versionID="416da51dcc3e2d15dd9c36636bb46e93">
  <xsd:schema xmlns:xsd="http://www.w3.org/2001/XMLSchema" xmlns:xs="http://www.w3.org/2001/XMLSchema" xmlns:p="http://schemas.microsoft.com/office/2006/metadata/properties" xmlns:ns2="ec260b42-f1b0-4123-bc4d-9a2f0f594992" xmlns:ns3="3b5ba2f1-c1ec-4383-9a92-34c1c420fb47" xmlns:ns4="http://schemas.microsoft.com/sharepoint/v4" targetNamespace="http://schemas.microsoft.com/office/2006/metadata/properties" ma:root="true" ma:fieldsID="cae0376821db17a2f6722877f569e516" ns2:_="" ns3:_="" ns4:_="">
    <xsd:import namespace="ec260b42-f1b0-4123-bc4d-9a2f0f594992"/>
    <xsd:import namespace="3b5ba2f1-c1ec-4383-9a92-34c1c420fb47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ffb1d9cf5a5a4ee3bc0eb8692be347f6" minOccurs="0"/>
                <xsd:element ref="ns2:TaxCatchAll" minOccurs="0"/>
                <xsd:element ref="ns2:TaxCatchAllLabel" minOccurs="0"/>
                <xsd:element ref="ns4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260b42-f1b0-4123-bc4d-9a2f0f594992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2" nillable="true" ma:displayName="Taxonomy Catch All Column" ma:hidden="true" ma:list="{8607fd7a-b65d-4ed9-a860-8abe5f52c0af}" ma:internalName="TaxCatchAll" ma:showField="CatchAllData" ma:web="ec260b42-f1b0-4123-bc4d-9a2f0f59499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3" nillable="true" ma:displayName="Taxonomy Catch All Column1" ma:hidden="true" ma:list="{8607fd7a-b65d-4ed9-a860-8abe5f52c0af}" ma:internalName="TaxCatchAllLabel" ma:readOnly="true" ma:showField="CatchAllDataLabel" ma:web="ec260b42-f1b0-4123-bc4d-9a2f0f59499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5ba2f1-c1ec-4383-9a92-34c1c420fb47" elementFormDefault="qualified">
    <xsd:import namespace="http://schemas.microsoft.com/office/2006/documentManagement/types"/>
    <xsd:import namespace="http://schemas.microsoft.com/office/infopath/2007/PartnerControls"/>
    <xsd:element name="ffb1d9cf5a5a4ee3bc0eb8692be347f6" ma:index="11" nillable="true" ma:taxonomy="true" ma:internalName="ffb1d9cf5a5a4ee3bc0eb8692be347f6" ma:taxonomyFieldName="QDSP_x0020_Functional_x0020_Group" ma:displayName="QDSP Functional Group" ma:default="" ma:fieldId="{ffb1d9cf-5a5a-4ee3-bc0e-b8692be347f6}" ma:sspId="09f8f6af-9d78-4eda-8f46-25f9273611bf" ma:termSetId="165ddcbb-73c2-45d8-aadf-14712245931b" ma:anchorId="d959a176-057d-4c2e-a4f2-3d82a9239669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5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152FB885-FFA4-4058-9187-B34C2C4176A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B3F917E-DACE-4642-9A62-81A531EBA247}">
  <ds:schemaRefs>
    <ds:schemaRef ds:uri="http://schemas.microsoft.com/office/2006/documentManagement/types"/>
    <ds:schemaRef ds:uri="http://purl.org/dc/elements/1.1/"/>
    <ds:schemaRef ds:uri="http://purl.org/dc/dcmitype/"/>
    <ds:schemaRef ds:uri="http://purl.org/dc/terms/"/>
    <ds:schemaRef ds:uri="http://schemas.microsoft.com/sharepoint/v4"/>
    <ds:schemaRef ds:uri="http://www.w3.org/XML/1998/namespace"/>
    <ds:schemaRef ds:uri="http://schemas.microsoft.com/office/2006/metadata/properties"/>
    <ds:schemaRef ds:uri="ec260b42-f1b0-4123-bc4d-9a2f0f594992"/>
    <ds:schemaRef ds:uri="http://schemas.microsoft.com/office/infopath/2007/PartnerControls"/>
    <ds:schemaRef ds:uri="http://schemas.openxmlformats.org/package/2006/metadata/core-properties"/>
    <ds:schemaRef ds:uri="3b5ba2f1-c1ec-4383-9a92-34c1c420fb47"/>
  </ds:schemaRefs>
</ds:datastoreItem>
</file>

<file path=customXml/itemProps3.xml><?xml version="1.0" encoding="utf-8"?>
<ds:datastoreItem xmlns:ds="http://schemas.openxmlformats.org/officeDocument/2006/customXml" ds:itemID="{C8C854E2-15BC-4027-8A61-27382A51FE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c260b42-f1b0-4123-bc4d-9a2f0f594992"/>
    <ds:schemaRef ds:uri="3b5ba2f1-c1ec-4383-9a92-34c1c420fb47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85CA856-A510-412E-A9B1-9BE2598636F5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7</vt:i4>
      </vt:variant>
      <vt:variant>
        <vt:lpstr>Named Ranges</vt:lpstr>
      </vt:variant>
      <vt:variant>
        <vt:i4>112</vt:i4>
      </vt:variant>
    </vt:vector>
  </HeadingPairs>
  <TitlesOfParts>
    <vt:vector size="121" baseType="lpstr">
      <vt:lpstr>Version Info</vt:lpstr>
      <vt:lpstr>load_pmu_stats</vt:lpstr>
      <vt:lpstr>CoreView</vt:lpstr>
      <vt:lpstr>ThreadConcurrency</vt:lpstr>
      <vt:lpstr>ClusterView</vt:lpstr>
      <vt:lpstr>ThreadView</vt:lpstr>
      <vt:lpstr>L2CacheMisses</vt:lpstr>
      <vt:lpstr>InsnMix</vt:lpstr>
      <vt:lpstr>HVX</vt:lpstr>
      <vt:lpstr>load_pmu_stats!pmu_statsfile</vt:lpstr>
      <vt:lpstr>load_pmu_stats!pmu_statsfile_1</vt:lpstr>
      <vt:lpstr>load_pmu_stats!pmu_statsfile_10</vt:lpstr>
      <vt:lpstr>load_pmu_stats!pmu_statsfile_103</vt:lpstr>
      <vt:lpstr>load_pmu_stats!pmu_statsfile_104</vt:lpstr>
      <vt:lpstr>load_pmu_stats!pmu_statsfile_105</vt:lpstr>
      <vt:lpstr>load_pmu_stats!pmu_statsfile_11</vt:lpstr>
      <vt:lpstr>load_pmu_stats!pmu_statsfile_111</vt:lpstr>
      <vt:lpstr>load_pmu_stats!pmu_statsfile_114</vt:lpstr>
      <vt:lpstr>load_pmu_stats!pmu_statsfile_115</vt:lpstr>
      <vt:lpstr>load_pmu_stats!pmu_statsfile_116</vt:lpstr>
      <vt:lpstr>load_pmu_stats!pmu_statsfile_117</vt:lpstr>
      <vt:lpstr>load_pmu_stats!pmu_statsfile_118</vt:lpstr>
      <vt:lpstr>load_pmu_stats!pmu_statsfile_119</vt:lpstr>
      <vt:lpstr>load_pmu_stats!pmu_statsfile_12</vt:lpstr>
      <vt:lpstr>load_pmu_stats!pmu_statsfile_121</vt:lpstr>
      <vt:lpstr>load_pmu_stats!pmu_statsfile_122</vt:lpstr>
      <vt:lpstr>load_pmu_stats!pmu_statsfile_123</vt:lpstr>
      <vt:lpstr>load_pmu_stats!pmu_statsfile_125</vt:lpstr>
      <vt:lpstr>load_pmu_stats!pmu_statsfile_128</vt:lpstr>
      <vt:lpstr>load_pmu_stats!pmu_statsfile_13</vt:lpstr>
      <vt:lpstr>load_pmu_stats!pmu_statsfile_130</vt:lpstr>
      <vt:lpstr>load_pmu_stats!pmu_statsfile_131</vt:lpstr>
      <vt:lpstr>load_pmu_stats!pmu_statsfile_132</vt:lpstr>
      <vt:lpstr>load_pmu_stats!pmu_statsfile_133</vt:lpstr>
      <vt:lpstr>load_pmu_stats!pmu_statsfile_136</vt:lpstr>
      <vt:lpstr>load_pmu_stats!pmu_statsfile_138</vt:lpstr>
      <vt:lpstr>load_pmu_stats!pmu_statsfile_139</vt:lpstr>
      <vt:lpstr>load_pmu_stats!pmu_statsfile_14</vt:lpstr>
      <vt:lpstr>load_pmu_stats!pmu_statsfile_140</vt:lpstr>
      <vt:lpstr>load_pmu_stats!pmu_statsfile_141</vt:lpstr>
      <vt:lpstr>load_pmu_stats!pmu_statsfile_142</vt:lpstr>
      <vt:lpstr>load_pmu_stats!pmu_statsfile_15</vt:lpstr>
      <vt:lpstr>load_pmu_stats!pmu_statsfile_16</vt:lpstr>
      <vt:lpstr>load_pmu_stats!pmu_statsfile_17</vt:lpstr>
      <vt:lpstr>load_pmu_stats!pmu_statsfile_18</vt:lpstr>
      <vt:lpstr>load_pmu_stats!pmu_statsfile_19</vt:lpstr>
      <vt:lpstr>load_pmu_stats!pmu_statsfile_2</vt:lpstr>
      <vt:lpstr>load_pmu_stats!pmu_statsfile_20</vt:lpstr>
      <vt:lpstr>load_pmu_stats!pmu_statsfile_21</vt:lpstr>
      <vt:lpstr>load_pmu_stats!pmu_statsfile_22</vt:lpstr>
      <vt:lpstr>load_pmu_stats!pmu_statsfile_25</vt:lpstr>
      <vt:lpstr>load_pmu_stats!pmu_statsfile_26</vt:lpstr>
      <vt:lpstr>load_pmu_stats!pmu_statsfile_27</vt:lpstr>
      <vt:lpstr>load_pmu_stats!pmu_statsfile_28</vt:lpstr>
      <vt:lpstr>load_pmu_stats!pmu_statsfile_29</vt:lpstr>
      <vt:lpstr>load_pmu_stats!pmu_statsfile_3</vt:lpstr>
      <vt:lpstr>load_pmu_stats!pmu_statsfile_30</vt:lpstr>
      <vt:lpstr>load_pmu_stats!pmu_statsfile_31</vt:lpstr>
      <vt:lpstr>load_pmu_stats!pmu_statsfile_32</vt:lpstr>
      <vt:lpstr>load_pmu_stats!pmu_statsfile_33</vt:lpstr>
      <vt:lpstr>load_pmu_stats!pmu_statsfile_34</vt:lpstr>
      <vt:lpstr>load_pmu_stats!pmu_statsfile_35</vt:lpstr>
      <vt:lpstr>load_pmu_stats!pmu_statsfile_36</vt:lpstr>
      <vt:lpstr>load_pmu_stats!pmu_statsfile_37</vt:lpstr>
      <vt:lpstr>load_pmu_stats!pmu_statsfile_38</vt:lpstr>
      <vt:lpstr>load_pmu_stats!pmu_statsfile_39</vt:lpstr>
      <vt:lpstr>load_pmu_stats!pmu_statsfile_4</vt:lpstr>
      <vt:lpstr>load_pmu_stats!pmu_statsfile_40</vt:lpstr>
      <vt:lpstr>load_pmu_stats!pmu_statsfile_41</vt:lpstr>
      <vt:lpstr>load_pmu_stats!pmu_statsfile_42</vt:lpstr>
      <vt:lpstr>load_pmu_stats!pmu_statsfile_43</vt:lpstr>
      <vt:lpstr>load_pmu_stats!pmu_statsfile_44</vt:lpstr>
      <vt:lpstr>load_pmu_stats!pmu_statsfile_45</vt:lpstr>
      <vt:lpstr>load_pmu_stats!pmu_statsfile_46</vt:lpstr>
      <vt:lpstr>load_pmu_stats!pmu_statsfile_47</vt:lpstr>
      <vt:lpstr>load_pmu_stats!pmu_statsfile_48</vt:lpstr>
      <vt:lpstr>load_pmu_stats!pmu_statsfile_49</vt:lpstr>
      <vt:lpstr>load_pmu_stats!pmu_statsfile_5</vt:lpstr>
      <vt:lpstr>load_pmu_stats!pmu_statsfile_50</vt:lpstr>
      <vt:lpstr>load_pmu_stats!pmu_statsfile_51</vt:lpstr>
      <vt:lpstr>load_pmu_stats!pmu_statsfile_52</vt:lpstr>
      <vt:lpstr>load_pmu_stats!pmu_statsfile_53</vt:lpstr>
      <vt:lpstr>load_pmu_stats!pmu_statsfile_54</vt:lpstr>
      <vt:lpstr>load_pmu_stats!pmu_statsfile_55</vt:lpstr>
      <vt:lpstr>load_pmu_stats!pmu_statsfile_56</vt:lpstr>
      <vt:lpstr>load_pmu_stats!pmu_statsfile_57</vt:lpstr>
      <vt:lpstr>load_pmu_stats!pmu_statsfile_58</vt:lpstr>
      <vt:lpstr>load_pmu_stats!pmu_statsfile_59</vt:lpstr>
      <vt:lpstr>load_pmu_stats!pmu_statsfile_6</vt:lpstr>
      <vt:lpstr>load_pmu_stats!pmu_statsfile_60</vt:lpstr>
      <vt:lpstr>load_pmu_stats!pmu_statsfile_61</vt:lpstr>
      <vt:lpstr>load_pmu_stats!pmu_statsfile_62</vt:lpstr>
      <vt:lpstr>load_pmu_stats!pmu_statsfile_63</vt:lpstr>
      <vt:lpstr>load_pmu_stats!pmu_statsfile_64</vt:lpstr>
      <vt:lpstr>load_pmu_stats!pmu_statsfile_65</vt:lpstr>
      <vt:lpstr>load_pmu_stats!pmu_statsfile_66</vt:lpstr>
      <vt:lpstr>load_pmu_stats!pmu_statsfile_67</vt:lpstr>
      <vt:lpstr>load_pmu_stats!pmu_statsfile_68</vt:lpstr>
      <vt:lpstr>load_pmu_stats!pmu_statsfile_69</vt:lpstr>
      <vt:lpstr>load_pmu_stats!pmu_statsfile_7</vt:lpstr>
      <vt:lpstr>load_pmu_stats!pmu_statsfile_70</vt:lpstr>
      <vt:lpstr>load_pmu_stats!pmu_statsfile_71</vt:lpstr>
      <vt:lpstr>load_pmu_stats!pmu_statsfile_73</vt:lpstr>
      <vt:lpstr>load_pmu_stats!pmu_statsfile_74</vt:lpstr>
      <vt:lpstr>load_pmu_stats!pmu_statsfile_75</vt:lpstr>
      <vt:lpstr>load_pmu_stats!pmu_statsfile_76</vt:lpstr>
      <vt:lpstr>load_pmu_stats!pmu_statsfile_78</vt:lpstr>
      <vt:lpstr>load_pmu_stats!pmu_statsfile_79</vt:lpstr>
      <vt:lpstr>load_pmu_stats!pmu_statsfile_8</vt:lpstr>
      <vt:lpstr>load_pmu_stats!pmu_statsfile_83</vt:lpstr>
      <vt:lpstr>load_pmu_stats!pmu_statsfile_84</vt:lpstr>
      <vt:lpstr>load_pmu_stats!pmu_statsfile_89</vt:lpstr>
      <vt:lpstr>load_pmu_stats!pmu_statsfile_9</vt:lpstr>
      <vt:lpstr>load_pmu_stats!pmu_statsfile_90</vt:lpstr>
      <vt:lpstr>load_pmu_stats!pmu_statsfile_91</vt:lpstr>
      <vt:lpstr>load_pmu_stats!pmu_statsfile_92</vt:lpstr>
      <vt:lpstr>load_pmu_stats!pmu_statsfile_93</vt:lpstr>
      <vt:lpstr>load_pmu_stats!pmu_statsfile_94</vt:lpstr>
      <vt:lpstr>load_pmu_stats!pmu_statsfile_95</vt:lpstr>
      <vt:lpstr>load_pmu_stats!pmu_statsfile_96</vt:lpstr>
      <vt:lpstr>load_pmu_stats!pmu_statsfile_97</vt:lpstr>
    </vt:vector>
  </TitlesOfParts>
  <Company>Qualcomm Incorporated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G Sassone</dc:creator>
  <cp:lastModifiedBy>Qualcomm User</cp:lastModifiedBy>
  <dcterms:created xsi:type="dcterms:W3CDTF">2012-01-05T16:46:29Z</dcterms:created>
  <dcterms:modified xsi:type="dcterms:W3CDTF">2015-02-13T00:02:33Z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1488898917</vt:i4>
  </property>
  <property fmtid="{D5CDD505-2E9C-101B-9397-08002B2CF9AE}" pid="3" name="_NewReviewCycle">
    <vt:lpwstr/>
  </property>
  <property fmtid="{D5CDD505-2E9C-101B-9397-08002B2CF9AE}" pid="4" name="_EmailSubject">
    <vt:lpwstr>PMU spreadsheet</vt:lpwstr>
  </property>
  <property fmtid="{D5CDD505-2E9C-101B-9397-08002B2CF9AE}" pid="5" name="_AuthorEmail">
    <vt:lpwstr>lucianc@qti.qualcomm.com</vt:lpwstr>
  </property>
  <property fmtid="{D5CDD505-2E9C-101B-9397-08002B2CF9AE}" pid="6" name="_AuthorEmailDisplayName">
    <vt:lpwstr>Codrescu, Lucian</vt:lpwstr>
  </property>
  <property fmtid="{D5CDD505-2E9C-101B-9397-08002B2CF9AE}" pid="7" name="ContentTypeId">
    <vt:lpwstr>0x010100F2CEE95F68733E49BA8521C37200612E00429C20686C88F244BFE1BB581E0EB682</vt:lpwstr>
  </property>
  <property fmtid="{D5CDD505-2E9C-101B-9397-08002B2CF9AE}" pid="8" name="_dlc_DocIdItemGuid">
    <vt:lpwstr>4b689f8b-3c0f-439c-89c4-3f802adc615e</vt:lpwstr>
  </property>
  <property fmtid="{D5CDD505-2E9C-101B-9397-08002B2CF9AE}" pid="9" name="_PreviousAdHocReviewCycleID">
    <vt:i4>1770081584</vt:i4>
  </property>
</Properties>
</file>