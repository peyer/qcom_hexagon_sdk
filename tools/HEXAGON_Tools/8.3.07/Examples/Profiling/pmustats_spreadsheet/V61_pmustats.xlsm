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gonzale\Hexagon_examples\pmu_spreadshet\"/>
    </mc:Choice>
  </mc:AlternateContent>
  <bookViews>
    <workbookView xWindow="6615" yWindow="615" windowWidth="13650" windowHeight="7920" tabRatio="809" activeTab="1"/>
  </bookViews>
  <sheets>
    <sheet name="Version Info" sheetId="7" r:id="rId1"/>
    <sheet name="Calculator" sheetId="1" r:id="rId2"/>
    <sheet name="CoreView" sheetId="9" r:id="rId3"/>
    <sheet name="ClusterView" sheetId="8" r:id="rId4"/>
    <sheet name="L2CacheMisses" sheetId="15" r:id="rId5"/>
    <sheet name="InsnMix" sheetId="10" r:id="rId6"/>
    <sheet name="HVX" sheetId="13" r:id="rId7"/>
  </sheets>
  <functionGroups builtInGroupCount="18"/>
  <calcPr calcId="152511"/>
</workbook>
</file>

<file path=xl/calcChain.xml><?xml version="1.0" encoding="utf-8"?>
<calcChain xmlns="http://schemas.openxmlformats.org/spreadsheetml/2006/main">
  <c r="H9" i="1" l="1"/>
  <c r="H12" i="1"/>
  <c r="H63" i="1"/>
  <c r="H88" i="1"/>
  <c r="H38" i="1" l="1"/>
  <c r="H37" i="1"/>
  <c r="H119" i="1" l="1"/>
  <c r="H118" i="1"/>
  <c r="H121" i="1"/>
  <c r="H120" i="1"/>
  <c r="H99" i="1"/>
  <c r="H90" i="1"/>
  <c r="H87" i="1"/>
  <c r="H86" i="1"/>
  <c r="H102" i="1"/>
  <c r="H73" i="1" l="1"/>
  <c r="H72" i="1"/>
  <c r="H89" i="1"/>
  <c r="H105" i="1"/>
  <c r="H106" i="1"/>
  <c r="H101" i="1"/>
  <c r="H103" i="1" l="1"/>
  <c r="H135" i="1" l="1"/>
  <c r="H134" i="1"/>
  <c r="H133" i="1"/>
  <c r="H131" i="1"/>
  <c r="H132" i="1"/>
  <c r="H129" i="1"/>
  <c r="H128" i="1"/>
  <c r="H127" i="1"/>
  <c r="H136" i="1" l="1"/>
  <c r="H36" i="1"/>
  <c r="H77" i="1" l="1"/>
  <c r="H51" i="1" l="1"/>
  <c r="H80" i="1" l="1"/>
  <c r="H74" i="1"/>
  <c r="H82" i="1" l="1"/>
  <c r="H81" i="1"/>
  <c r="H85" i="1"/>
  <c r="H69" i="1" l="1"/>
  <c r="H68" i="1"/>
  <c r="H67" i="1"/>
  <c r="H66" i="1"/>
  <c r="H65" i="1"/>
  <c r="H64" i="1"/>
  <c r="H61" i="1"/>
  <c r="H43" i="1"/>
  <c r="H41" i="1"/>
  <c r="H54" i="1"/>
  <c r="H53" i="1"/>
  <c r="H47" i="1"/>
  <c r="H49" i="1"/>
  <c r="H48" i="1"/>
  <c r="H50" i="1"/>
  <c r="H52" i="1"/>
  <c r="H35" i="1" l="1"/>
  <c r="H34" i="1"/>
  <c r="H33" i="1"/>
  <c r="H32" i="1"/>
  <c r="J88" i="1" l="1"/>
  <c r="J63" i="1"/>
  <c r="J37" i="1"/>
  <c r="J38" i="1"/>
  <c r="J118" i="1"/>
  <c r="J119" i="1"/>
  <c r="J121" i="1"/>
  <c r="J120" i="1"/>
  <c r="J87" i="1"/>
  <c r="J90" i="1"/>
  <c r="J86" i="1"/>
  <c r="J102" i="1"/>
  <c r="J103" i="1"/>
  <c r="J73" i="1"/>
  <c r="J72" i="1"/>
  <c r="J89" i="1"/>
  <c r="J105" i="1"/>
  <c r="J106" i="1"/>
  <c r="J101" i="1"/>
  <c r="J99" i="1"/>
  <c r="H42" i="1"/>
  <c r="J36" i="1"/>
  <c r="J80" i="1"/>
  <c r="J74" i="1"/>
  <c r="J82" i="1"/>
  <c r="J69" i="1"/>
  <c r="J68" i="1"/>
  <c r="J67" i="1"/>
  <c r="J66" i="1"/>
  <c r="J65" i="1"/>
  <c r="J64" i="1"/>
  <c r="J61" i="1"/>
  <c r="J43" i="1"/>
  <c r="J41" i="1"/>
  <c r="J81" i="1"/>
  <c r="J54" i="1"/>
  <c r="J53" i="1"/>
  <c r="J52" i="1"/>
  <c r="J50" i="1"/>
  <c r="J47" i="1"/>
  <c r="J49" i="1"/>
  <c r="J48" i="1"/>
  <c r="J51" i="1"/>
  <c r="J35" i="1"/>
  <c r="H115" i="1"/>
  <c r="H112" i="1"/>
  <c r="H62" i="1"/>
  <c r="H60" i="1"/>
  <c r="H44" i="1"/>
  <c r="H11" i="1" l="1"/>
  <c r="H126" i="1" l="1"/>
  <c r="H28" i="1" l="1"/>
  <c r="H18" i="1" s="1"/>
  <c r="H27" i="1"/>
  <c r="H19" i="1" s="1"/>
  <c r="H98" i="1" l="1"/>
  <c r="H97" i="1"/>
  <c r="J97" i="1" l="1"/>
  <c r="H39" i="1"/>
  <c r="H93" i="1"/>
  <c r="H114" i="1"/>
  <c r="H113" i="1"/>
  <c r="H111" i="1"/>
  <c r="H110" i="1"/>
  <c r="H122" i="1" s="1"/>
  <c r="H94" i="1"/>
  <c r="H95" i="1"/>
  <c r="H100" i="1"/>
  <c r="H92" i="1"/>
  <c r="H58" i="1"/>
  <c r="H59" i="1"/>
  <c r="H10" i="1"/>
  <c r="H6" i="1"/>
  <c r="I12" i="1" s="1"/>
  <c r="H26" i="1"/>
  <c r="H20" i="1" s="1"/>
  <c r="H25" i="1"/>
  <c r="H21" i="1" s="1"/>
  <c r="I88" i="1" l="1"/>
  <c r="I63" i="1"/>
  <c r="H15" i="1"/>
  <c r="I37" i="1"/>
  <c r="I38" i="1"/>
  <c r="H96" i="1"/>
  <c r="I96" i="1" s="1"/>
  <c r="I119" i="1"/>
  <c r="I121" i="1"/>
  <c r="I120" i="1"/>
  <c r="I118" i="1"/>
  <c r="H91" i="1"/>
  <c r="I91" i="1" s="1"/>
  <c r="J92" i="1"/>
  <c r="I94" i="1"/>
  <c r="J94" i="1"/>
  <c r="H104" i="1"/>
  <c r="I104" i="1" s="1"/>
  <c r="J95" i="1"/>
  <c r="I95" i="1"/>
  <c r="J93" i="1"/>
  <c r="I93" i="1"/>
  <c r="H107" i="1"/>
  <c r="I107" i="1" s="1"/>
  <c r="H123" i="1"/>
  <c r="I90" i="1"/>
  <c r="I87" i="1"/>
  <c r="I86" i="1"/>
  <c r="I102" i="1"/>
  <c r="I103" i="1"/>
  <c r="H75" i="1"/>
  <c r="H76" i="1"/>
  <c r="I105" i="1"/>
  <c r="I106" i="1"/>
  <c r="I101" i="1"/>
  <c r="I73" i="1"/>
  <c r="I72" i="1"/>
  <c r="I89" i="1"/>
  <c r="I99" i="1"/>
  <c r="I128" i="1"/>
  <c r="I133" i="1"/>
  <c r="I135" i="1"/>
  <c r="I132" i="1"/>
  <c r="I129" i="1"/>
  <c r="I127" i="1"/>
  <c r="I134" i="1"/>
  <c r="I131" i="1"/>
  <c r="I126" i="1"/>
  <c r="H130" i="1"/>
  <c r="I51" i="1"/>
  <c r="I36" i="1"/>
  <c r="H40" i="1"/>
  <c r="J40" i="1" s="1"/>
  <c r="H55" i="1"/>
  <c r="H8" i="1"/>
  <c r="I8" i="1" s="1"/>
  <c r="I74" i="1"/>
  <c r="I80" i="1"/>
  <c r="I82" i="1"/>
  <c r="I35" i="1"/>
  <c r="I49" i="1"/>
  <c r="I50" i="1"/>
  <c r="I69" i="1"/>
  <c r="I68" i="1"/>
  <c r="I67" i="1"/>
  <c r="I66" i="1"/>
  <c r="I65" i="1"/>
  <c r="I64" i="1"/>
  <c r="I61" i="1"/>
  <c r="I43" i="1"/>
  <c r="I41" i="1"/>
  <c r="I81" i="1"/>
  <c r="I54" i="1"/>
  <c r="I53" i="1"/>
  <c r="I52" i="1"/>
  <c r="I47" i="1"/>
  <c r="I48" i="1"/>
  <c r="H16" i="1"/>
  <c r="H17" i="1"/>
  <c r="I42" i="1"/>
  <c r="J42" i="1"/>
  <c r="I115" i="1"/>
  <c r="I112" i="1"/>
  <c r="I62" i="1"/>
  <c r="I60" i="1"/>
  <c r="H117" i="1"/>
  <c r="H116" i="1"/>
  <c r="J112" i="1"/>
  <c r="J62" i="1"/>
  <c r="J60" i="1"/>
  <c r="J115" i="1"/>
  <c r="I44" i="1"/>
  <c r="J44" i="1"/>
  <c r="H5" i="1"/>
  <c r="K12" i="1" s="1"/>
  <c r="I11" i="1"/>
  <c r="I9" i="1"/>
  <c r="J114" i="1"/>
  <c r="J59" i="1"/>
  <c r="I97" i="1"/>
  <c r="I98" i="1"/>
  <c r="J85" i="1"/>
  <c r="J98" i="1"/>
  <c r="I85" i="1"/>
  <c r="J33" i="1"/>
  <c r="J110" i="1"/>
  <c r="J34" i="1"/>
  <c r="J58" i="1"/>
  <c r="J100" i="1"/>
  <c r="J111" i="1"/>
  <c r="J113" i="1"/>
  <c r="J39" i="1"/>
  <c r="I32" i="1"/>
  <c r="I34" i="1"/>
  <c r="I33" i="1"/>
  <c r="I39" i="1"/>
  <c r="I58" i="1"/>
  <c r="I10" i="1"/>
  <c r="I100" i="1"/>
  <c r="I113" i="1"/>
  <c r="I6" i="1"/>
  <c r="I59" i="1"/>
  <c r="I92" i="1"/>
  <c r="I114" i="1"/>
  <c r="I110" i="1"/>
  <c r="I111" i="1"/>
  <c r="K88" i="1" l="1"/>
  <c r="K63" i="1"/>
  <c r="J96" i="1"/>
  <c r="K92" i="1"/>
  <c r="H14" i="1"/>
  <c r="K107" i="1"/>
  <c r="K93" i="1"/>
  <c r="K104" i="1"/>
  <c r="K96" i="1"/>
  <c r="K86" i="1"/>
  <c r="K102" i="1"/>
  <c r="K99" i="1"/>
  <c r="K119" i="1"/>
  <c r="K118" i="1"/>
  <c r="K90" i="1"/>
  <c r="K87" i="1"/>
  <c r="K121" i="1"/>
  <c r="K120" i="1"/>
  <c r="K89" i="1"/>
  <c r="K106" i="1"/>
  <c r="K101" i="1"/>
  <c r="K105" i="1"/>
  <c r="K103" i="1"/>
  <c r="K85" i="1"/>
  <c r="K98" i="1"/>
  <c r="K97" i="1"/>
  <c r="J107" i="1"/>
  <c r="J104" i="1"/>
  <c r="K95" i="1"/>
  <c r="K100" i="1"/>
  <c r="K94" i="1"/>
  <c r="J91" i="1"/>
  <c r="K91" i="1"/>
  <c r="K73" i="1"/>
  <c r="K72" i="1"/>
  <c r="K130" i="1"/>
  <c r="I130" i="1"/>
  <c r="K127" i="1"/>
  <c r="K131" i="1"/>
  <c r="K133" i="1"/>
  <c r="K129" i="1"/>
  <c r="K132" i="1"/>
  <c r="K135" i="1"/>
  <c r="K134" i="1"/>
  <c r="K128" i="1"/>
  <c r="K126" i="1"/>
  <c r="J117" i="1"/>
  <c r="I40" i="1"/>
  <c r="H13" i="1"/>
  <c r="K8" i="1"/>
  <c r="H7" i="1"/>
  <c r="I7" i="1" s="1"/>
  <c r="K74" i="1"/>
  <c r="K80" i="1"/>
  <c r="K82" i="1"/>
  <c r="K52" i="1"/>
  <c r="K49" i="1"/>
  <c r="K81" i="1"/>
  <c r="K64" i="1"/>
  <c r="K68" i="1"/>
  <c r="K47" i="1"/>
  <c r="K61" i="1"/>
  <c r="K67" i="1"/>
  <c r="K50" i="1"/>
  <c r="K54" i="1"/>
  <c r="K66" i="1"/>
  <c r="K48" i="1"/>
  <c r="K53" i="1"/>
  <c r="K65" i="1"/>
  <c r="K69" i="1"/>
  <c r="K51" i="1"/>
  <c r="J55" i="1"/>
  <c r="I55" i="1"/>
  <c r="K55" i="1"/>
  <c r="K28" i="1"/>
  <c r="K27" i="1"/>
  <c r="K25" i="1"/>
  <c r="K26" i="1"/>
  <c r="K62" i="1"/>
  <c r="K112" i="1"/>
  <c r="K60" i="1"/>
  <c r="K115" i="1"/>
  <c r="K116" i="1"/>
  <c r="I116" i="1"/>
  <c r="J116" i="1"/>
  <c r="H29" i="1"/>
  <c r="K9" i="1"/>
  <c r="H24" i="1"/>
  <c r="K24" i="1" s="1"/>
  <c r="K58" i="1"/>
  <c r="K113" i="1"/>
  <c r="K110" i="1"/>
  <c r="K114" i="1"/>
  <c r="K111" i="1"/>
  <c r="K59" i="1"/>
  <c r="K117" i="1"/>
  <c r="I117" i="1"/>
  <c r="K7" i="1" l="1"/>
</calcChain>
</file>

<file path=xl/sharedStrings.xml><?xml version="1.0" encoding="utf-8"?>
<sst xmlns="http://schemas.openxmlformats.org/spreadsheetml/2006/main" count="666" uniqueCount="575">
  <si>
    <t>Committed Packets</t>
  </si>
  <si>
    <t>Total Pcycles</t>
  </si>
  <si>
    <t>1T Running</t>
  </si>
  <si>
    <t>2T Running</t>
  </si>
  <si>
    <t>3T Running</t>
  </si>
  <si>
    <t>IU Replay</t>
  </si>
  <si>
    <t>Dcache Secondary Miss</t>
  </si>
  <si>
    <t>AXI Reads</t>
  </si>
  <si>
    <t>AXI Read Bytes</t>
  </si>
  <si>
    <t>AXI Writes</t>
  </si>
  <si>
    <t>AXI Write Bytes</t>
  </si>
  <si>
    <t>Per Packet</t>
  </si>
  <si>
    <t>Per Pcycle</t>
  </si>
  <si>
    <t>Committed Loads</t>
  </si>
  <si>
    <t>Committed Stores</t>
  </si>
  <si>
    <t>Comments</t>
  </si>
  <si>
    <t>Number of cycles one thread was in run state (not stop/wait)</t>
  </si>
  <si>
    <t>Number of cycles two threads was in run state (not stop/wait)</t>
  </si>
  <si>
    <t>Number of cycles three threads was in run state (not stop/wait)</t>
  </si>
  <si>
    <t>Total number of proccessor cycles to complete program</t>
  </si>
  <si>
    <t>Total Count</t>
  </si>
  <si>
    <t>0T Running</t>
  </si>
  <si>
    <t>Insns/Packet</t>
  </si>
  <si>
    <t>clk</t>
  </si>
  <si>
    <t>Thread Concurrency</t>
  </si>
  <si>
    <t>Committed Instructions</t>
  </si>
  <si>
    <t>Per Insn</t>
  </si>
  <si>
    <t>0x01</t>
  </si>
  <si>
    <t>0x02</t>
  </si>
  <si>
    <t>0x03</t>
  </si>
  <si>
    <t>0x04</t>
  </si>
  <si>
    <t>0x12</t>
  </si>
  <si>
    <t>0x13</t>
  </si>
  <si>
    <t>0x20</t>
  </si>
  <si>
    <t>0x21</t>
  </si>
  <si>
    <t>0x25</t>
  </si>
  <si>
    <t>0x26</t>
  </si>
  <si>
    <t>0x27</t>
  </si>
  <si>
    <t>0x2a</t>
  </si>
  <si>
    <t>0x30</t>
  </si>
  <si>
    <t>0x31</t>
  </si>
  <si>
    <t>0x32</t>
  </si>
  <si>
    <t>0x37</t>
  </si>
  <si>
    <t>0x38</t>
  </si>
  <si>
    <t>0x39</t>
  </si>
  <si>
    <t>0x3b</t>
  </si>
  <si>
    <t>0x3c</t>
  </si>
  <si>
    <t>0x3d</t>
  </si>
  <si>
    <t>0x40</t>
  </si>
  <si>
    <t>0x41</t>
  </si>
  <si>
    <t>0x43</t>
  </si>
  <si>
    <t>0x44</t>
  </si>
  <si>
    <t>0x45</t>
  </si>
  <si>
    <t>0x47</t>
  </si>
  <si>
    <t>0x48</t>
  </si>
  <si>
    <t>0x50</t>
  </si>
  <si>
    <t>0x51</t>
  </si>
  <si>
    <t>0x52</t>
  </si>
  <si>
    <t>0x5c</t>
  </si>
  <si>
    <t>0x66</t>
  </si>
  <si>
    <t>0x70</t>
  </si>
  <si>
    <t>0x71</t>
  </si>
  <si>
    <t>0x76</t>
  </si>
  <si>
    <t>0x77</t>
  </si>
  <si>
    <t>0x78</t>
  </si>
  <si>
    <t>0x79</t>
  </si>
  <si>
    <t>0x7c</t>
  </si>
  <si>
    <t>0x7d</t>
  </si>
  <si>
    <t>0x7e</t>
  </si>
  <si>
    <t>0x7f</t>
  </si>
  <si>
    <t>0x80</t>
  </si>
  <si>
    <t>0x81</t>
  </si>
  <si>
    <t>0x82</t>
  </si>
  <si>
    <t>0x83</t>
  </si>
  <si>
    <t>0x84</t>
  </si>
  <si>
    <t>0x85</t>
  </si>
  <si>
    <t>0x87</t>
  </si>
  <si>
    <t>0x88</t>
  </si>
  <si>
    <t>0x89</t>
  </si>
  <si>
    <t>0x8d</t>
  </si>
  <si>
    <t>0x8e</t>
  </si>
  <si>
    <t>0x90</t>
  </si>
  <si>
    <t>0x91</t>
  </si>
  <si>
    <t>0x92</t>
  </si>
  <si>
    <t>0x93</t>
  </si>
  <si>
    <t>0xbf</t>
  </si>
  <si>
    <t>0xc3</t>
  </si>
  <si>
    <t>0xc4</t>
  </si>
  <si>
    <t>0xc5</t>
  </si>
  <si>
    <t>Overall concurrency of threads</t>
  </si>
  <si>
    <t>Number of committed instructions</t>
  </si>
  <si>
    <t>Number of committed packets</t>
  </si>
  <si>
    <t>Number of packets that committed 2 cycles after the previous packet in the same thread</t>
  </si>
  <si>
    <t>Number of IU replay events (fetchcross, itlb miss, etc)</t>
  </si>
  <si>
    <t>Number of DU replay events (bank conflict, credit failure, state conflict, etc)</t>
  </si>
  <si>
    <t>Number of branches which mispredicted their direction (taken/nottaken)</t>
  </si>
  <si>
    <t>Number of total reads from the AXI bus</t>
  </si>
  <si>
    <t>Number of total writes to the AXI bus</t>
  </si>
  <si>
    <t>Number of dcfetch instructions committed</t>
  </si>
  <si>
    <t>Number of dcfetch instructions which hit the dcache</t>
  </si>
  <si>
    <t>Number of dcfetch instructions which missed and filled the dcache</t>
  </si>
  <si>
    <t>Number of prefetches (dcfetch and hardware) which reached L2</t>
  </si>
  <si>
    <t>Number of cycles no threads were in run state (not stop/wait)</t>
  </si>
  <si>
    <t>Metric</t>
  </si>
  <si>
    <t>Input PMU hex</t>
  </si>
  <si>
    <t>Input PMU name (opt)</t>
  </si>
  <si>
    <t>Input PMU value</t>
  </si>
  <si>
    <t>Number of total bytes read from the AXI bus (assumes 1beat transactions are 8B)</t>
  </si>
  <si>
    <t>Number of total bytes written to the AXI bus (assumes 1beat transactions are 8B)</t>
  </si>
  <si>
    <t>TCM IU Access</t>
  </si>
  <si>
    <t>TCM DU Access</t>
  </si>
  <si>
    <t>Number of accesses to the TCM from the IU</t>
  </si>
  <si>
    <t>Number of accesses to the TCM from the DU</t>
  </si>
  <si>
    <t>Uncacheable Load</t>
  </si>
  <si>
    <t>Version Log</t>
  </si>
  <si>
    <t>0x58</t>
  </si>
  <si>
    <t>4T Running</t>
  </si>
  <si>
    <t>0x3e</t>
  </si>
  <si>
    <t>Number of cycles four threads was in run state (not stop/wait)</t>
  </si>
  <si>
    <t>(link to PMU descriptions)</t>
  </si>
  <si>
    <t>0xf0</t>
  </si>
  <si>
    <t>0xf1</t>
  </si>
  <si>
    <t>0xfc</t>
  </si>
  <si>
    <t>Coprocessor</t>
  </si>
  <si>
    <t>Packets executed on Coproc</t>
  </si>
  <si>
    <t>0xf5</t>
  </si>
  <si>
    <t>Number of packets with at least one instruction executed in the coprocessor</t>
  </si>
  <si>
    <t>0x05</t>
  </si>
  <si>
    <t>0x06</t>
  </si>
  <si>
    <t>0x07</t>
  </si>
  <si>
    <t>0x08</t>
  </si>
  <si>
    <t>0x2f</t>
  </si>
  <si>
    <t>0x4d</t>
  </si>
  <si>
    <t>0x5a</t>
  </si>
  <si>
    <t>0x5d</t>
  </si>
  <si>
    <t>0x68</t>
  </si>
  <si>
    <t>0x6a</t>
  </si>
  <si>
    <t>0x6b</t>
  </si>
  <si>
    <t>0x6c</t>
  </si>
  <si>
    <t>0x6d</t>
  </si>
  <si>
    <t>0x6e</t>
  </si>
  <si>
    <t>0x6f</t>
  </si>
  <si>
    <t>0x8a</t>
  </si>
  <si>
    <t>0x8b</t>
  </si>
  <si>
    <t>0x8c</t>
  </si>
  <si>
    <t>0x8f</t>
  </si>
  <si>
    <t>0xa0</t>
  </si>
  <si>
    <t>0xa1</t>
  </si>
  <si>
    <t>0xa3</t>
  </si>
  <si>
    <t>0xa4</t>
  </si>
  <si>
    <t>0xa8</t>
  </si>
  <si>
    <t>0xac</t>
  </si>
  <si>
    <t>0xad</t>
  </si>
  <si>
    <t>0xaf</t>
  </si>
  <si>
    <t>0xb3</t>
  </si>
  <si>
    <t>0xb6</t>
  </si>
  <si>
    <t>0xb7</t>
  </si>
  <si>
    <t>0xb9</t>
  </si>
  <si>
    <t>0xba</t>
  </si>
  <si>
    <t>0xbd</t>
  </si>
  <si>
    <t>0xc8</t>
  </si>
  <si>
    <t>0xc9</t>
  </si>
  <si>
    <t>0xca</t>
  </si>
  <si>
    <t>0xcc</t>
  </si>
  <si>
    <t>0xce</t>
  </si>
  <si>
    <t>0xcf</t>
  </si>
  <si>
    <t>0xd0</t>
  </si>
  <si>
    <t>0xd1</t>
  </si>
  <si>
    <t>0xd2</t>
  </si>
  <si>
    <t>0xd3</t>
  </si>
  <si>
    <t>0xd4</t>
  </si>
  <si>
    <t>0xd5</t>
  </si>
  <si>
    <t>0xdc</t>
  </si>
  <si>
    <t>0xdd</t>
  </si>
  <si>
    <t>0xdf</t>
  </si>
  <si>
    <t>0xe6</t>
  </si>
  <si>
    <t>0xe7</t>
  </si>
  <si>
    <t>0xe8</t>
  </si>
  <si>
    <t>0xf2</t>
  </si>
  <si>
    <t>0xf3</t>
  </si>
  <si>
    <t>0xf4</t>
  </si>
  <si>
    <t>0xf6</t>
  </si>
  <si>
    <t>0xf8</t>
  </si>
  <si>
    <t>0xf9</t>
  </si>
  <si>
    <t>0xfa</t>
  </si>
  <si>
    <t>0xfb</t>
  </si>
  <si>
    <t>B2B Committed Packets</t>
  </si>
  <si>
    <t>Number of packets that committed 1 cycles after the previous packet in the same thread</t>
  </si>
  <si>
    <t>Instructions/pcycle (IPC)</t>
  </si>
  <si>
    <t>Number of times in which 2 packets were committed concurrently</t>
  </si>
  <si>
    <t>Number of DU bank conflicts</t>
  </si>
  <si>
    <t>DU bank conflict</t>
  </si>
  <si>
    <t>Number of 32B cacheline reads from the AXI bus</t>
  </si>
  <si>
    <t>Number of 64B cacheline reads from the AXI bus</t>
  </si>
  <si>
    <t>AXI 32B Reads</t>
  </si>
  <si>
    <t>AXI 64B Reads</t>
  </si>
  <si>
    <t>AXI 32B Writes</t>
  </si>
  <si>
    <t>Number of 32B cacheline writes to the AXI bus</t>
  </si>
  <si>
    <t>Number of 64B cacheline writes to the AXI bus</t>
  </si>
  <si>
    <t>AXI 64B Writes</t>
  </si>
  <si>
    <t>0x42</t>
  </si>
  <si>
    <t>0x49</t>
  </si>
  <si>
    <t>0x4a</t>
  </si>
  <si>
    <t>0x4b</t>
  </si>
  <si>
    <t>0x4c</t>
  </si>
  <si>
    <t>0x5b</t>
  </si>
  <si>
    <t>0xe9</t>
  </si>
  <si>
    <t>0xea</t>
  </si>
  <si>
    <t>0xeb</t>
  </si>
  <si>
    <t>0xec</t>
  </si>
  <si>
    <t>0xed</t>
  </si>
  <si>
    <t>0xfd</t>
  </si>
  <si>
    <t>0xfe</t>
  </si>
  <si>
    <t>0xff</t>
  </si>
  <si>
    <t>Committed Memops</t>
  </si>
  <si>
    <t>Number of load instructions, excluding memop</t>
  </si>
  <si>
    <t>Number of store instructions, excluding memop</t>
  </si>
  <si>
    <t>Number of memop instructions</t>
  </si>
  <si>
    <t>Number of taken branches (all types)</t>
  </si>
  <si>
    <t>BSB Committed Packets</t>
  </si>
  <si>
    <t>Processor Cycles / Number of Packets</t>
  </si>
  <si>
    <t>Cycles Per Packet assuming all packets need 3 pcycles and single packet commit</t>
  </si>
  <si>
    <t>Cycles Per Packet assuming all packets need 2 pcycles and single packet commit</t>
  </si>
  <si>
    <t>CPP (v55 DMT metric)</t>
  </si>
  <si>
    <t>CPP (v4 IMT metric)</t>
  </si>
  <si>
    <t>Packet &amp; Cycle Metrics</t>
  </si>
  <si>
    <t>Cycles Per Packet while 4 threads are running</t>
  </si>
  <si>
    <t>CPP_4T_running</t>
  </si>
  <si>
    <t>CPP_3T_running</t>
  </si>
  <si>
    <t>CPP_2T_running</t>
  </si>
  <si>
    <t>CPP_1T_running</t>
  </si>
  <si>
    <t>Cycles Per Packet while 3 threads are running</t>
  </si>
  <si>
    <t>Cycles Per Packet while 2 threads are running</t>
  </si>
  <si>
    <t>Instruction Metrics</t>
  </si>
  <si>
    <t>raw processor CPP</t>
  </si>
  <si>
    <t>Replays</t>
  </si>
  <si>
    <t>Branch Predictor</t>
  </si>
  <si>
    <t>TLB</t>
  </si>
  <si>
    <t>Committed Cond Branches</t>
  </si>
  <si>
    <t>Committed Endloops</t>
  </si>
  <si>
    <t>Number of conditional branch instructionsbranch instrs</t>
  </si>
  <si>
    <t>Number of hardware loopends</t>
  </si>
  <si>
    <t>DU-L2 fifo full</t>
  </si>
  <si>
    <t>DU fill replay</t>
  </si>
  <si>
    <t>DU Store buffer full</t>
  </si>
  <si>
    <t>DU store buffer hit</t>
  </si>
  <si>
    <t>DU store buffer force</t>
  </si>
  <si>
    <t>DU page cross</t>
  </si>
  <si>
    <t>SMT bank conflit</t>
  </si>
  <si>
    <t>SMT port conflict</t>
  </si>
  <si>
    <t>dTLB miss</t>
  </si>
  <si>
    <t>iTLB miss</t>
  </si>
  <si>
    <t>JTLB miss</t>
  </si>
  <si>
    <t>DU replay (any)</t>
  </si>
  <si>
    <t>Number of L2 fifo full replays</t>
  </si>
  <si>
    <t>Number of store buffer full replays</t>
  </si>
  <si>
    <t>Number of DU fill replays</t>
  </si>
  <si>
    <t>Number of store buffer hit replays</t>
  </si>
  <si>
    <t>Number of store buffer force replays</t>
  </si>
  <si>
    <t>Number of page cross replays</t>
  </si>
  <si>
    <t>Number of SMT DU port conflict replays</t>
  </si>
  <si>
    <t>Number of SMT DU bank conflict replays</t>
  </si>
  <si>
    <t>Return Stack Miss</t>
  </si>
  <si>
    <t>Branch Direction Miss</t>
  </si>
  <si>
    <t>Indirect Jumps (not predicted)</t>
  </si>
  <si>
    <t>Number of data uTLB misses</t>
  </si>
  <si>
    <t>Number of instruction uTLB misses</t>
  </si>
  <si>
    <t>Number of joint TLB misses</t>
  </si>
  <si>
    <t>Committed Branches (all kinds)</t>
  </si>
  <si>
    <t>Committed Uncond Branches</t>
  </si>
  <si>
    <t>Number of change-of-flow instructions including all types</t>
  </si>
  <si>
    <t>Number of unconditional jumps/calls</t>
  </si>
  <si>
    <t>Committed Taken Branches</t>
  </si>
  <si>
    <t>Number of Indirect Jumps (these are not predicted)</t>
  </si>
  <si>
    <t>2 Packets Committed (SMT)</t>
  </si>
  <si>
    <t xml:space="preserve">1 Packet Committed </t>
  </si>
  <si>
    <t>Times a cluster committed a packet</t>
  </si>
  <si>
    <t>Times a cluster could not dispatch due to kernel lock or TLB lock.</t>
  </si>
  <si>
    <t>Times a cluster could not dispatch due to Instr Queue being empty</t>
  </si>
  <si>
    <t>Times a cluster had no useful work due to a branch mispredict (includes I$ miss time to fetch target)</t>
  </si>
  <si>
    <t>Times a cluster could not dispatch due to a data cache miss or uncached load</t>
  </si>
  <si>
    <t>Times a cluster had no useful work due to a DU stall (dTLB miss, bank conflict, store buffer, etc)</t>
  </si>
  <si>
    <t>Times a cluster could not dispatch due to a register interlock or register port conflict</t>
  </si>
  <si>
    <t>Times a cluster could no dispatch due to intercluster data cache resource conflict</t>
  </si>
  <si>
    <t>Times a cluster could no dispatch due to intercluster execution unit resource conflict</t>
  </si>
  <si>
    <t>Cluster stall Arch Lock Stall</t>
  </si>
  <si>
    <t>Cluster stall No Pkt Avail</t>
  </si>
  <si>
    <t>Cluster stall Re-steer</t>
  </si>
  <si>
    <t>Cluster stall DU Busy</t>
  </si>
  <si>
    <t>Cluster stall Reg Interlock</t>
  </si>
  <si>
    <t>Cluster stall SMT DU conflict</t>
  </si>
  <si>
    <t>Cluster stall SMT XU conflict</t>
  </si>
  <si>
    <t>Packet Committed</t>
  </si>
  <si>
    <t>No Packets committed</t>
  </si>
  <si>
    <t>Number of branches which mispredicted their target address</t>
  </si>
  <si>
    <t>RAS Miss rate</t>
  </si>
  <si>
    <t>Number of return stack misses / Number of returns</t>
  </si>
  <si>
    <t>Number of branch direction mispredicts / ( Number of predicted branches + endloops)</t>
  </si>
  <si>
    <t>Prioritized Cluster Stalls</t>
  </si>
  <si>
    <t>Committed ComplexALU</t>
  </si>
  <si>
    <t>Number of non tc1 ALU instructions</t>
  </si>
  <si>
    <t>Coproc interlock stalls</t>
  </si>
  <si>
    <t>Number of coprocessor interlock stalls</t>
  </si>
  <si>
    <t>Coproc vmem load stalls</t>
  </si>
  <si>
    <t>Number of coprocessor cycles waiting on load data</t>
  </si>
  <si>
    <t>Number of coprocessor cycles waiting on load store completion</t>
  </si>
  <si>
    <t>Coproc vmem store stalls</t>
  </si>
  <si>
    <t>Number of packets which did not use the coprocessor</t>
  </si>
  <si>
    <t>Non coproc packets</t>
  </si>
  <si>
    <t>Number of vector loads which missed in L2</t>
  </si>
  <si>
    <t>Coproc loads</t>
  </si>
  <si>
    <t>Coproc load demand miss</t>
  </si>
  <si>
    <t>Coproc load seconday miss</t>
  </si>
  <si>
    <t>Number of vector loads</t>
  </si>
  <si>
    <t>Number of vector loads with secondary miss in L2</t>
  </si>
  <si>
    <t>Coproc stores</t>
  </si>
  <si>
    <t>Coproc store miss</t>
  </si>
  <si>
    <t>Number of vector stores</t>
  </si>
  <si>
    <t>Number of vector stores which miss in L2</t>
  </si>
  <si>
    <t>Coproc load miss rate</t>
  </si>
  <si>
    <t>Number of vmem pri+sec misses / number of vmem loads</t>
  </si>
  <si>
    <t>L2 cache DU Prefetch Miss</t>
  </si>
  <si>
    <t xml:space="preserve">Number of Misses in L2 from IU requests (Demand &amp; L1 Prefetch) </t>
  </si>
  <si>
    <t>L2FETCH Programmed Miss</t>
  </si>
  <si>
    <t>Number of Misses in L2 from L2FETCH programmed fetches</t>
  </si>
  <si>
    <t>L2 evictions</t>
  </si>
  <si>
    <t>Number of castouts from L2</t>
  </si>
  <si>
    <t>Number of Misses in L2 from allocating stores</t>
  </si>
  <si>
    <t>Icache Prefetch to L2</t>
  </si>
  <si>
    <t>Number of IU generated prefetches sent to L2</t>
  </si>
  <si>
    <t>Dcache Prefetch to L2</t>
  </si>
  <si>
    <t>Dcache Primary Miss</t>
  </si>
  <si>
    <t>Caches &amp; Prefetch</t>
  </si>
  <si>
    <t>DCFETCH Issued</t>
  </si>
  <si>
    <t>DCFETCH Hit</t>
  </si>
  <si>
    <t>DCFETCH Filled</t>
  </si>
  <si>
    <t>Number of loads which were uncacheable or device-type</t>
  </si>
  <si>
    <t>0x2b</t>
  </si>
  <si>
    <t>L2 cache WB Store Allocations</t>
  </si>
  <si>
    <t>Cycles Per Packet while 1 thread is running</t>
  </si>
  <si>
    <t>L2 cache IU Prefetch Miss</t>
  </si>
  <si>
    <t>Number of Misses in L2 from IU prefetches</t>
  </si>
  <si>
    <t xml:space="preserve">Number of Misses in L2 from DU requests (Demand &amp; L1 Prefetch) </t>
  </si>
  <si>
    <t>Number of Misses in L2 from DU prefetches</t>
  </si>
  <si>
    <t>L2 cache IU Total Miss</t>
  </si>
  <si>
    <t>L2 cache DU Total Miss</t>
  </si>
  <si>
    <t xml:space="preserve">L2 cache DU Demand Miss </t>
  </si>
  <si>
    <t xml:space="preserve">Number of Misses in L2 from DU requests (Demand only) </t>
  </si>
  <si>
    <t xml:space="preserve">L2 cache IU Demand Miss </t>
  </si>
  <si>
    <t xml:space="preserve">Number of Misses in L2 from IU requests (Demand only) </t>
  </si>
  <si>
    <t>Branch Miss Rate (w/ endloop)</t>
  </si>
  <si>
    <t>Branch Miss Rate (no endloop)</t>
  </si>
  <si>
    <t>Number of branch direction mispredicts / ( Number of predicted branches)</t>
  </si>
  <si>
    <t>Uncacheable Store</t>
  </si>
  <si>
    <t>Number of stores which were uncacheable or device-type</t>
  </si>
  <si>
    <t>Dcache Total Miss</t>
  </si>
  <si>
    <t>Icache Total Miss</t>
  </si>
  <si>
    <t xml:space="preserve">Number of Icache misses (Primary and Secondary) </t>
  </si>
  <si>
    <t xml:space="preserve">Number of Dcache misses (Primary and Secondary) </t>
  </si>
  <si>
    <t>Number of Dcache primary misses</t>
  </si>
  <si>
    <t>Number of accesses to the dcache which missed and hit reserved line</t>
  </si>
  <si>
    <t>Buses</t>
  </si>
  <si>
    <t>AXI2 Reads</t>
  </si>
  <si>
    <t>AXI2 Writes</t>
  </si>
  <si>
    <t>Number of reads from the AXI2 bus</t>
  </si>
  <si>
    <t>Number of writes to the AXI2 bus</t>
  </si>
  <si>
    <t>AHB Reads</t>
  </si>
  <si>
    <t>AHB Writes</t>
  </si>
  <si>
    <t>Number of reads from the AHB bus</t>
  </si>
  <si>
    <t>Number of writes to the AHB bus</t>
  </si>
  <si>
    <t>Total Bus Reads</t>
  </si>
  <si>
    <t>Total Bus Writes</t>
  </si>
  <si>
    <t>Total Bus Read Transactions</t>
  </si>
  <si>
    <t>Total Bus Write Transactions</t>
  </si>
  <si>
    <t>0xf7</t>
  </si>
  <si>
    <t>Instructions per processor cycle (includes 2*endloops)</t>
  </si>
  <si>
    <t>VLIW packet density (no endloops)</t>
  </si>
  <si>
    <t>0x2c</t>
  </si>
  <si>
    <t>0x5e</t>
  </si>
  <si>
    <t>Number of single cycle delayed ALU instructions  (tc1-type) or Coproc VX instructions</t>
  </si>
  <si>
    <t>Committed tc1/vx</t>
  </si>
  <si>
    <t>Committed VMEM Loads</t>
  </si>
  <si>
    <t>Committed VMEM Stores</t>
  </si>
  <si>
    <t>Number of HVX vector load instructions</t>
  </si>
  <si>
    <t>COUNTER0_OVERFLOW</t>
  </si>
  <si>
    <t>COUNTER2_OVERFLOW</t>
  </si>
  <si>
    <t>COMMITTED_PKT_ANY</t>
  </si>
  <si>
    <t>COMMITTED_PKT_BSB</t>
  </si>
  <si>
    <t>COUNTER4_OVERFLOW</t>
  </si>
  <si>
    <t>COUNTER6_OVERFLOW</t>
  </si>
  <si>
    <t>COMMITTED_PKT_B2B</t>
  </si>
  <si>
    <t>COMMITTED_PKT_SMT</t>
  </si>
  <si>
    <t>ICACHE_DEMAND_MISS</t>
  </si>
  <si>
    <t>DCACHE_DEMAND_MISS</t>
  </si>
  <si>
    <t>0x14</t>
  </si>
  <si>
    <t>DCACHE_STORE_MISS</t>
  </si>
  <si>
    <t>0x17</t>
  </si>
  <si>
    <t>CU_PKT_READY_NOT_DISPATCHED</t>
  </si>
  <si>
    <t>ANY_IU_REPLAY</t>
  </si>
  <si>
    <t>ANY_DU_REPLAY</t>
  </si>
  <si>
    <t>COMMITTED_PKT_1_THREAD_RUNNING</t>
  </si>
  <si>
    <t>COMMITTED_PKT_2_THREAD_RUNNING</t>
  </si>
  <si>
    <t>COMMITTED_PKT_3_THREAD_RUNNING</t>
  </si>
  <si>
    <t>COMMITTED_INSTS</t>
  </si>
  <si>
    <t>COMMITTED_TC1_INSTS</t>
  </si>
  <si>
    <t>COMMITTED_PRIVATE_INSTS</t>
  </si>
  <si>
    <t>COMMITTED_PKT_4_THREAD_RUNNING</t>
  </si>
  <si>
    <t>COMMITTED_LOADS</t>
  </si>
  <si>
    <t>COMMITTED_STORES</t>
  </si>
  <si>
    <t>COMMITTED_MEMOPS</t>
  </si>
  <si>
    <t>COMMITTED_PROGRAM_FLOW_INSTS</t>
  </si>
  <si>
    <t>COMMITTED_PKT_CHANGED_FLOW</t>
  </si>
  <si>
    <t>COMMITTED_PKT_ENDLOOP</t>
  </si>
  <si>
    <t>CYCLES_1_THREAD_RUNNING</t>
  </si>
  <si>
    <t>CYCLES_2_THREAD_RUNNING</t>
  </si>
  <si>
    <t>CYCLES_3_THREAD_RUNNING</t>
  </si>
  <si>
    <t>CYCLES_4_THREAD_RUNNING</t>
  </si>
  <si>
    <t>AXI_READ_REQUEST</t>
  </si>
  <si>
    <t>AXI_LINE32_READ_REQUEST</t>
  </si>
  <si>
    <t>AXI_WRITE_REQUEST</t>
  </si>
  <si>
    <t>AXI_LINE32_WRITE_REQUEST</t>
  </si>
  <si>
    <t>AHB_READ_REQUEST</t>
  </si>
  <si>
    <t>AHB_WRITE_REQUEST</t>
  </si>
  <si>
    <t>AXI_SLAVE_MULTI_BEAT_ACCESS</t>
  </si>
  <si>
    <t>AXI_SLAVE_SINGLE_BEAT_ACCESS</t>
  </si>
  <si>
    <t>AXI2_READ_REQUEST</t>
  </si>
  <si>
    <t>AXI2_LINE32_READ_REQUEST</t>
  </si>
  <si>
    <t>AXI2_WRITE_REQUEST</t>
  </si>
  <si>
    <t>AXI2_LINE32_WRITE_REQUEST</t>
  </si>
  <si>
    <t>AXI2_CONGESTION</t>
  </si>
  <si>
    <t>COMMITTED_FPS</t>
  </si>
  <si>
    <t>BRANCH_MISPREDICT_DIRECTION</t>
  </si>
  <si>
    <t>BRANCH_MISPREDICT_TARGET</t>
  </si>
  <si>
    <t>JTLB_MISS</t>
  </si>
  <si>
    <t>COMMITTED_PKT_RETURN</t>
  </si>
  <si>
    <t>COMMITTED_PKT_INDIRECT_JUMP</t>
  </si>
  <si>
    <t>COMMITTED_BIMODAL_BRANCH_INSTS</t>
  </si>
  <si>
    <t>BRANCH_QUEUE_FULL</t>
  </si>
  <si>
    <t>CU_DU_REQUESTED_BUBBLE_INSERTED</t>
  </si>
  <si>
    <t>0x65</t>
  </si>
  <si>
    <t>IU_DEMAND_SECONDARY_MISS</t>
  </si>
  <si>
    <t>IU_LINE_FROM_LOOP_BUFFER</t>
  </si>
  <si>
    <t>IU_1_PKT_AVAILABLE_TO_ISSUE</t>
  </si>
  <si>
    <t>IU_REQUESTS_TO_L2_REPLAYED</t>
  </si>
  <si>
    <t>IU_PREFETCHES_SENT_TO_L2</t>
  </si>
  <si>
    <t>ITLB_MISS</t>
  </si>
  <si>
    <t>IU_2_PKT_AVAILABLE_TO_ISSUE</t>
  </si>
  <si>
    <t>IU_3_PKT_AVAILABLE_TO_ISSUE</t>
  </si>
  <si>
    <t>IU_REQUEST_STALLED</t>
  </si>
  <si>
    <t>IU_BIMODAL_L2_ELIGIBLE</t>
  </si>
  <si>
    <t>IU_0_PKT_AVAILABLE_TO_ISSUE</t>
  </si>
  <si>
    <t>L2_IU_ACCESS</t>
  </si>
  <si>
    <t>L2_IU_MISS</t>
  </si>
  <si>
    <t>L2_IU_PREFETCH_ACCESS</t>
  </si>
  <si>
    <t>L2_IU_PREFETCH_MISS</t>
  </si>
  <si>
    <t>0x7a</t>
  </si>
  <si>
    <t>L2_IU_BRANCH_CACHE_WRITE_REQUEST</t>
  </si>
  <si>
    <t>0x7b</t>
  </si>
  <si>
    <t>L2_IU_BRANCH_CACHE_WRITE</t>
  </si>
  <si>
    <t>L2_DU_READ_ACCESS</t>
  </si>
  <si>
    <t>L2_DU_READ_MISS</t>
  </si>
  <si>
    <t>L2FETCH_ACCESS</t>
  </si>
  <si>
    <t>L2FETCH_MISS</t>
  </si>
  <si>
    <t>L2_AXI_INTERLEAVE_DROP</t>
  </si>
  <si>
    <t>L2_ACCESS</t>
  </si>
  <si>
    <t>L2_PIPE_CONFLICT</t>
  </si>
  <si>
    <t>L2_TAG_ARRAY_CONFLICT</t>
  </si>
  <si>
    <t>AXI_RD_CONGESTION</t>
  </si>
  <si>
    <t>AHB_CONGESTION</t>
  </si>
  <si>
    <t>0x86</t>
  </si>
  <si>
    <t>SNOOP_BLOCK</t>
  </si>
  <si>
    <t>TCM_DU_ACCESS</t>
  </si>
  <si>
    <t>TCM_DU_READ_ACCESS</t>
  </si>
  <si>
    <t>TCM_IU_ACCESS</t>
  </si>
  <si>
    <t>L2_CASTOUT</t>
  </si>
  <si>
    <t>L2_DU_STORE_ACCESS</t>
  </si>
  <si>
    <t>L2_DU_STORE_MISS</t>
  </si>
  <si>
    <t>L2_DU_PREFETCH_ACCESS</t>
  </si>
  <si>
    <t>L2_DU_PREFETCH_MISS</t>
  </si>
  <si>
    <t>L2_DU_RETURN_NOT_ACKED</t>
  </si>
  <si>
    <t>L2_DU_LOAD_SECONDARY_MISS</t>
  </si>
  <si>
    <t>L2FETCH_COMMAND</t>
  </si>
  <si>
    <t>L2FETCH_COMMAND_KILLED</t>
  </si>
  <si>
    <t>L2FETCH_COMMAND_OVERWRITE</t>
  </si>
  <si>
    <t>0x94</t>
  </si>
  <si>
    <t>L2FETCH_ACCESS_CREDIT_FAIL</t>
  </si>
  <si>
    <t>ANY_DU_STALL</t>
  </si>
  <si>
    <t>DU_BANK_CONFLICT_REPLAY</t>
  </si>
  <si>
    <t>0xa2</t>
  </si>
  <si>
    <t>DU_CREDIT_REPLAY</t>
  </si>
  <si>
    <t>L2_FIFO_FULL_REPLAY</t>
  </si>
  <si>
    <t>DU_STORE_BUFFER_FULL_REPLAY</t>
  </si>
  <si>
    <t>0xa5</t>
  </si>
  <si>
    <t>DU_DIRECT_WRITE</t>
  </si>
  <si>
    <t>0xa6</t>
  </si>
  <si>
    <t>DU_SNOOP_CONFLICT_REPLAY</t>
  </si>
  <si>
    <t>0xa7</t>
  </si>
  <si>
    <t>DU_SNOOP_REQUEST</t>
  </si>
  <si>
    <t>DU_FILL_REPLAY</t>
  </si>
  <si>
    <t>0xaa</t>
  </si>
  <si>
    <t>DU_SNOOP_REQUEST_CLEAN_HIT</t>
  </si>
  <si>
    <t>DU_READ_TO_L2</t>
  </si>
  <si>
    <t>DU_WRITE_TO_L2</t>
  </si>
  <si>
    <t>DCZERO_COMMITTED</t>
  </si>
  <si>
    <t>DTLB_MISS</t>
  </si>
  <si>
    <t>0xb5</t>
  </si>
  <si>
    <t>DU_STORE_BUFFER_ACCESS</t>
  </si>
  <si>
    <t>STORE_BUFFER_HIT_REPLAY</t>
  </si>
  <si>
    <t>STORE_BUFFER_FORCE_REPLAY</t>
  </si>
  <si>
    <t>SMT_BANK_CONFLICT</t>
  </si>
  <si>
    <t>PORT_CONFLICT_REPLAY</t>
  </si>
  <si>
    <t>PAGE_CROSS_REPLAY</t>
  </si>
  <si>
    <t>0xbe</t>
  </si>
  <si>
    <t>DU_DEALLOC_SECURITY_REPLAY</t>
  </si>
  <si>
    <t>DU_DEMAND_SECONDARY_MISS</t>
  </si>
  <si>
    <t>DCFETCH_COMMITTED</t>
  </si>
  <si>
    <t>DCFETCH_HIT</t>
  </si>
  <si>
    <t>DCFETCH_MISS</t>
  </si>
  <si>
    <t>DU_LOAD_UNCACHEABLE</t>
  </si>
  <si>
    <t>DU_DUAL_LOAD_UNCACHEABLE</t>
  </si>
  <si>
    <t>DU_STORE_UNCACHEABLE</t>
  </si>
  <si>
    <t>MISS_TO_PREFETCH</t>
  </si>
  <si>
    <t>AXI_LINE64_READ_REQUEST</t>
  </si>
  <si>
    <t>AXI_LINE64_WRITE_REQUEST</t>
  </si>
  <si>
    <t>AXI_WR_CONGESTION</t>
  </si>
  <si>
    <t>AHB_8_READ_REQUEST</t>
  </si>
  <si>
    <t>AXI_INCOMPLETE_WRITE_REQUEST</t>
  </si>
  <si>
    <t>L2FETCH_COMMAND_PAGE_TERMINATION</t>
  </si>
  <si>
    <t>REQUEST_STALL_WRITE_BUFFER_EXHAUSTION</t>
  </si>
  <si>
    <t>L2_DU_STORE_COALESCE</t>
  </si>
  <si>
    <t>0xd6</t>
  </si>
  <si>
    <t>L2_STORE_LINK</t>
  </si>
  <si>
    <t>0xd7</t>
  </si>
  <si>
    <t>L2_SCOREBOARD_70_PERCENT_FULL</t>
  </si>
  <si>
    <t>0xd8</t>
  </si>
  <si>
    <t>L2_SCOREBOARD_80_PERCENT_FULL</t>
  </si>
  <si>
    <t>0xd9</t>
  </si>
  <si>
    <t>L2_SCOREBOARD_90_PERCENT_FULL</t>
  </si>
  <si>
    <t>0xda</t>
  </si>
  <si>
    <t>L2_SCOREBOARD_FULL_REJECT</t>
  </si>
  <si>
    <t>REQUEST_STALL_EVICTION_BUFFER_EXHAUSTION</t>
  </si>
  <si>
    <t>AHB_MULTI_BEAT_READ_REQUEST</t>
  </si>
  <si>
    <t>L2_DU_LOAD_SECONDARY_MISS_ON_SW_PREFETCH</t>
  </si>
  <si>
    <t>ARCH_LOCK_PVIEW_CYCLES</t>
  </si>
  <si>
    <t>IU_BRANCH_MISS_PVIEW_CYCLES</t>
  </si>
  <si>
    <t>IU_NO_PKT_PVIEW_CYCLES</t>
  </si>
  <si>
    <t>DU_CACHE_MISS_PVIEW_CYCLES</t>
  </si>
  <si>
    <t>DU_BUSY_OTHER_PVIEW_CYCLES</t>
  </si>
  <si>
    <t>CU_BUSY_PVIEW_CYCLES</t>
  </si>
  <si>
    <t>SMT_DU_CONFLICT_PVIEW_CYCLES</t>
  </si>
  <si>
    <t>SMT_XU_CONFLICT_PVIEW_CYCLES</t>
  </si>
  <si>
    <t>COPROC_PKT_THREAD</t>
  </si>
  <si>
    <t>COPROC_PKT_COUNT</t>
  </si>
  <si>
    <t>COPROC_POWER_THROTTLING_STALL_CYCLES</t>
  </si>
  <si>
    <t>COPROC_REGISTER_STALL_CYCLES</t>
  </si>
  <si>
    <t>COPROC_LOAD_STALL_CYCLES</t>
  </si>
  <si>
    <t>COPROC_STORE_STALL_CYCLES</t>
  </si>
  <si>
    <t>COPROC_BUSY_STALL_CYCLES</t>
  </si>
  <si>
    <t>COPROC_FREEZE_STALL_CYCLES</t>
  </si>
  <si>
    <t>COPROC_CORE_VFIFO_FULL_STALL</t>
  </si>
  <si>
    <t>COPROC_L2_STORE_ACCESS</t>
  </si>
  <si>
    <t>COPROC_L2_STORE_MISS</t>
  </si>
  <si>
    <t>COPROC_L2_LOAD_ACCESS</t>
  </si>
  <si>
    <t>COPROC_L2_LOAD_MISS</t>
  </si>
  <si>
    <t>COPROC_TCM_STORE_ACCESS</t>
  </si>
  <si>
    <t>COPROC_TCM_LOAD_ACCESS</t>
  </si>
  <si>
    <t>COPROC_L2_LOAD_SECONDARY_MISS</t>
  </si>
  <si>
    <t>Cluster stall DataMiss/UC</t>
  </si>
  <si>
    <t>Icache Secondary Miss</t>
  </si>
  <si>
    <t>Number of Icache secondary misses</t>
  </si>
  <si>
    <t>Hexagon V61 Performance Calculator</t>
  </si>
  <si>
    <t>FRAMEKEY security replay</t>
  </si>
  <si>
    <t>Number of dealloc replays due to non-zero framekey</t>
  </si>
  <si>
    <t>V61 initial version</t>
  </si>
  <si>
    <t>Packet ready no dispatch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</si>
</sst>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00"/>
    <numFmt numFmtId="167" formatCode="_(* #,##0.000_);_(* \(#,##0.000\);_(* &quot;-&quot;??_);_(@_)"/>
  </numFmts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 tint="-0.249977111117893"/>
      <name val="Arial"/>
      <family val="2"/>
    </font>
    <font>
      <b/>
      <sz val="10"/>
      <color theme="0" tint="-0.249977111117893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u/>
      <sz val="10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49" fontId="3" fillId="0" borderId="0" xfId="0" applyNumberFormat="1" applyFont="1" applyAlignment="1" applyProtection="1">
      <alignment horizontal="left"/>
    </xf>
    <xf numFmtId="164" fontId="2" fillId="0" borderId="0" xfId="1" applyNumberFormat="1" applyFont="1" applyAlignment="1" applyProtection="1">
      <alignment horizontal="center"/>
    </xf>
    <xf numFmtId="43" fontId="2" fillId="0" borderId="0" xfId="1" applyFont="1" applyAlignment="1" applyProtection="1">
      <alignment horizontal="center" wrapText="1"/>
    </xf>
    <xf numFmtId="0" fontId="2" fillId="0" borderId="1" xfId="0" applyFont="1" applyBorder="1" applyProtection="1"/>
    <xf numFmtId="49" fontId="3" fillId="0" borderId="1" xfId="0" applyNumberFormat="1" applyFont="1" applyBorder="1" applyAlignment="1" applyProtection="1">
      <alignment horizontal="left"/>
    </xf>
    <xf numFmtId="164" fontId="0" fillId="0" borderId="1" xfId="1" applyNumberFormat="1" applyFont="1" applyBorder="1" applyProtection="1"/>
    <xf numFmtId="43" fontId="0" fillId="0" borderId="1" xfId="1" applyFont="1" applyBorder="1" applyProtection="1"/>
    <xf numFmtId="43" fontId="0" fillId="0" borderId="0" xfId="1" applyNumberFormat="1" applyFont="1" applyProtection="1"/>
    <xf numFmtId="43" fontId="0" fillId="0" borderId="0" xfId="1" applyFont="1" applyProtection="1"/>
    <xf numFmtId="0" fontId="5" fillId="0" borderId="0" xfId="0" applyFont="1" applyProtection="1"/>
    <xf numFmtId="164" fontId="0" fillId="0" borderId="0" xfId="1" applyNumberFormat="1" applyFont="1" applyProtection="1"/>
    <xf numFmtId="49" fontId="4" fillId="0" borderId="1" xfId="0" applyNumberFormat="1" applyFont="1" applyBorder="1" applyAlignment="1" applyProtection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164" fontId="2" fillId="2" borderId="0" xfId="1" applyNumberFormat="1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1" applyNumberFormat="1" applyFont="1" applyFill="1" applyProtection="1">
      <protection locked="0"/>
    </xf>
    <xf numFmtId="165" fontId="0" fillId="0" borderId="0" xfId="2" applyNumberFormat="1" applyFont="1" applyProtection="1"/>
    <xf numFmtId="165" fontId="0" fillId="0" borderId="1" xfId="2" applyNumberFormat="1" applyFont="1" applyBorder="1" applyProtection="1"/>
    <xf numFmtId="43" fontId="6" fillId="0" borderId="0" xfId="1" applyFont="1" applyAlignment="1" applyProtection="1">
      <alignment horizontal="center" wrapText="1"/>
    </xf>
    <xf numFmtId="0" fontId="5" fillId="0" borderId="0" xfId="0" applyNumberFormat="1" applyFont="1" applyProtection="1"/>
    <xf numFmtId="0" fontId="5" fillId="0" borderId="1" xfId="0" applyFont="1" applyBorder="1" applyProtection="1"/>
    <xf numFmtId="0" fontId="2" fillId="0" borderId="2" xfId="0" applyFont="1" applyFill="1" applyBorder="1" applyAlignment="1" applyProtection="1">
      <alignment horizontal="center" wrapText="1"/>
      <protection locked="0"/>
    </xf>
    <xf numFmtId="164" fontId="2" fillId="0" borderId="2" xfId="1" applyNumberFormat="1" applyFont="1" applyFill="1" applyBorder="1" applyAlignment="1" applyProtection="1">
      <alignment horizontal="center" wrapText="1"/>
      <protection locked="0"/>
    </xf>
    <xf numFmtId="0" fontId="0" fillId="0" borderId="2" xfId="0" applyFill="1" applyBorder="1" applyAlignment="1" applyProtection="1">
      <alignment wrapText="1"/>
      <protection locked="0"/>
    </xf>
    <xf numFmtId="49" fontId="3" fillId="0" borderId="2" xfId="0" applyNumberFormat="1" applyFont="1" applyFill="1" applyBorder="1" applyAlignment="1" applyProtection="1">
      <alignment horizontal="left" wrapText="1"/>
    </xf>
    <xf numFmtId="164" fontId="2" fillId="0" borderId="2" xfId="1" applyNumberFormat="1" applyFont="1" applyFill="1" applyBorder="1" applyAlignment="1" applyProtection="1">
      <alignment horizontal="center" wrapText="1"/>
    </xf>
    <xf numFmtId="43" fontId="2" fillId="0" borderId="2" xfId="1" applyFont="1" applyFill="1" applyBorder="1" applyAlignment="1" applyProtection="1">
      <alignment horizontal="center" wrapText="1"/>
    </xf>
    <xf numFmtId="0" fontId="2" fillId="0" borderId="2" xfId="0" applyFont="1" applyFill="1" applyBorder="1" applyAlignment="1" applyProtection="1">
      <alignment wrapText="1"/>
    </xf>
    <xf numFmtId="14" fontId="0" fillId="0" borderId="0" xfId="0" applyNumberFormat="1"/>
    <xf numFmtId="49" fontId="3" fillId="0" borderId="0" xfId="0" applyNumberFormat="1" applyFont="1" applyBorder="1" applyAlignment="1" applyProtection="1">
      <alignment horizontal="left"/>
    </xf>
    <xf numFmtId="43" fontId="0" fillId="0" borderId="0" xfId="1" applyFont="1" applyBorder="1" applyProtection="1"/>
    <xf numFmtId="43" fontId="0" fillId="0" borderId="1" xfId="1" applyNumberFormat="1" applyFont="1" applyBorder="1" applyProtection="1"/>
    <xf numFmtId="0" fontId="7" fillId="0" borderId="0" xfId="0" applyFont="1" applyFill="1" applyAlignment="1" applyProtection="1">
      <alignment vertical="top"/>
      <protection locked="0"/>
    </xf>
    <xf numFmtId="0" fontId="0" fillId="0" borderId="0" xfId="0" applyFill="1" applyBorder="1" applyProtection="1"/>
    <xf numFmtId="0" fontId="5" fillId="0" borderId="0" xfId="0" applyFont="1"/>
    <xf numFmtId="10" fontId="0" fillId="0" borderId="0" xfId="2" applyNumberFormat="1" applyFont="1" applyProtection="1"/>
    <xf numFmtId="166" fontId="0" fillId="0" borderId="0" xfId="2" applyNumberFormat="1" applyFont="1" applyProtection="1"/>
    <xf numFmtId="9" fontId="0" fillId="0" borderId="0" xfId="2" applyNumberFormat="1" applyFont="1" applyProtection="1"/>
    <xf numFmtId="9" fontId="0" fillId="0" borderId="0" xfId="1" applyNumberFormat="1" applyFont="1" applyProtection="1"/>
    <xf numFmtId="2" fontId="0" fillId="0" borderId="0" xfId="2" applyNumberFormat="1" applyFont="1" applyProtection="1"/>
    <xf numFmtId="9" fontId="0" fillId="0" borderId="0" xfId="2" applyFont="1" applyProtection="1"/>
    <xf numFmtId="43" fontId="0" fillId="0" borderId="0" xfId="0" applyNumberFormat="1" applyProtection="1">
      <protection locked="0"/>
    </xf>
    <xf numFmtId="167" fontId="0" fillId="0" borderId="0" xfId="1" applyNumberFormat="1" applyFont="1" applyProtection="1"/>
    <xf numFmtId="164" fontId="0" fillId="0" borderId="0" xfId="1" applyNumberFormat="1" applyFont="1" applyFill="1" applyProtection="1"/>
    <xf numFmtId="0" fontId="0" fillId="0" borderId="0" xfId="0" applyFill="1" applyProtection="1"/>
    <xf numFmtId="49" fontId="3" fillId="0" borderId="0" xfId="0" applyNumberFormat="1" applyFont="1" applyFill="1" applyAlignment="1" applyProtection="1">
      <alignment horizontal="left"/>
    </xf>
    <xf numFmtId="0" fontId="7" fillId="0" borderId="0" xfId="0" applyFont="1" applyFill="1" applyAlignment="1" applyProtection="1">
      <alignment horizontal="center" vertical="top"/>
      <protection locked="0"/>
    </xf>
    <xf numFmtId="0" fontId="8" fillId="0" borderId="0" xfId="3" applyFill="1" applyAlignment="1" applyProtection="1">
      <alignment horizontal="center"/>
      <protection locked="0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59"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0F2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chartsheet" Target="chartsheets/sheet1.xml"/><Relationship Id="rId7" Type="http://schemas.openxmlformats.org/officeDocument/2006/relationships/chartsheet" Target="chartsheets/sheet5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calcChain" Target="calcChain.xml"/><Relationship Id="rId5" Type="http://schemas.openxmlformats.org/officeDocument/2006/relationships/chartsheet" Target="chartsheets/sheet3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Core Cycle View</a:t>
            </a:r>
          </a:p>
        </c:rich>
      </c:tx>
      <c:layout>
        <c:manualLayout>
          <c:xMode val="edge"/>
          <c:yMode val="edge"/>
          <c:x val="0.41291894096223836"/>
          <c:y val="2.0188814697202753E-2"/>
        </c:manualLayout>
      </c:layout>
      <c:overlay val="0"/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00B050"/>
            </a:solidFill>
          </c:spPr>
          <c:dPt>
            <c:idx val="0"/>
            <c:bubble3D val="0"/>
            <c:spPr>
              <a:solidFill>
                <a:srgbClr val="C00000"/>
              </a:solidFill>
            </c:spPr>
          </c:dPt>
          <c:dLbls>
            <c:dLbl>
              <c:idx val="0"/>
              <c:layout>
                <c:manualLayout>
                  <c:x val="5.977561116856734E-2"/>
                  <c:y val="3.90217994687957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5726495825065383E-2"/>
                  <c:y val="-5.939248401693990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Calculator!$F$7:$F$9</c:f>
              <c:strCache>
                <c:ptCount val="3"/>
                <c:pt idx="0">
                  <c:v>No Packets committed</c:v>
                </c:pt>
                <c:pt idx="1">
                  <c:v>1 Packet Committed </c:v>
                </c:pt>
                <c:pt idx="2">
                  <c:v>2 Packets Committed (SMT)</c:v>
                </c:pt>
              </c:strCache>
            </c:strRef>
          </c:cat>
          <c:val>
            <c:numRef>
              <c:f>Calculator!$K$7:$K$9</c:f>
              <c:numCache>
                <c:formatCode>0%</c:formatCode>
                <c:ptCount val="3"/>
                <c:pt idx="0">
                  <c:v>3.9790180722041261E-2</c:v>
                </c:pt>
                <c:pt idx="1">
                  <c:v>0.96020981927795879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Cluster View of CPP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8"/>
            <c:bubble3D val="0"/>
            <c:spPr>
              <a:solidFill>
                <a:srgbClr val="00B050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Calculator!$F$47:$F$55</c:f>
              <c:strCache>
                <c:ptCount val="9"/>
                <c:pt idx="0">
                  <c:v>Cluster stall Arch Lock Stall</c:v>
                </c:pt>
                <c:pt idx="1">
                  <c:v>Cluster stall Re-steer</c:v>
                </c:pt>
                <c:pt idx="2">
                  <c:v>Cluster stall No Pkt Avail</c:v>
                </c:pt>
                <c:pt idx="3">
                  <c:v>Cluster stall DataMiss/UC</c:v>
                </c:pt>
                <c:pt idx="4">
                  <c:v>Cluster stall DU Busy</c:v>
                </c:pt>
                <c:pt idx="5">
                  <c:v>Cluster stall Reg Interlock</c:v>
                </c:pt>
                <c:pt idx="6">
                  <c:v>Cluster stall SMT DU conflict</c:v>
                </c:pt>
                <c:pt idx="7">
                  <c:v>Cluster stall SMT XU conflict</c:v>
                </c:pt>
                <c:pt idx="8">
                  <c:v>Packet Committed</c:v>
                </c:pt>
              </c:strCache>
            </c:strRef>
          </c:cat>
          <c:val>
            <c:numRef>
              <c:f>Calculator!$I$47:$I$55</c:f>
              <c:numCache>
                <c:formatCode>_(* #,##0.00_);_(* \(#,##0.00\);_(* "-"??_);_(@_)</c:formatCode>
                <c:ptCount val="9"/>
                <c:pt idx="0">
                  <c:v>0</c:v>
                </c:pt>
                <c:pt idx="1">
                  <c:v>9.4409895279505232E-2</c:v>
                </c:pt>
                <c:pt idx="2">
                  <c:v>0.11732134413393279</c:v>
                </c:pt>
                <c:pt idx="3">
                  <c:v>0.28992293550385323</c:v>
                </c:pt>
                <c:pt idx="4">
                  <c:v>0.15747959212602039</c:v>
                </c:pt>
                <c:pt idx="5">
                  <c:v>0.35074188246290589</c:v>
                </c:pt>
                <c:pt idx="6">
                  <c:v>5.2141947392902628E-2</c:v>
                </c:pt>
                <c:pt idx="7">
                  <c:v>2.1426498928675056E-3</c:v>
                </c:pt>
                <c:pt idx="8">
                  <c:v>1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L2Cache Miss Composition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Calculator!$F$101:$F$106</c:f>
              <c:strCache>
                <c:ptCount val="6"/>
                <c:pt idx="0">
                  <c:v>L2 cache DU Prefetch Miss</c:v>
                </c:pt>
                <c:pt idx="1">
                  <c:v>L2 cache IU Prefetch Miss</c:v>
                </c:pt>
                <c:pt idx="2">
                  <c:v>L2 cache DU Demand Miss </c:v>
                </c:pt>
                <c:pt idx="3">
                  <c:v>L2 cache IU Demand Miss </c:v>
                </c:pt>
                <c:pt idx="4">
                  <c:v>L2 cache WB Store Allocations</c:v>
                </c:pt>
                <c:pt idx="5">
                  <c:v>L2FETCH Programmed Miss</c:v>
                </c:pt>
              </c:strCache>
            </c:strRef>
          </c:cat>
          <c:val>
            <c:numRef>
              <c:f>Calculator!$I$101:$I$106</c:f>
              <c:numCache>
                <c:formatCode>0.00%</c:formatCode>
                <c:ptCount val="6"/>
                <c:pt idx="0">
                  <c:v>0</c:v>
                </c:pt>
                <c:pt idx="1">
                  <c:v>3.7434998128250095E-4</c:v>
                </c:pt>
                <c:pt idx="2">
                  <c:v>8.6294995685250219E-4</c:v>
                </c:pt>
                <c:pt idx="3">
                  <c:v>5.7164997141750148E-4</c:v>
                </c:pt>
                <c:pt idx="4">
                  <c:v>1.0198499490075025E-3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Instruction Mix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7"/>
              <c:layout>
                <c:manualLayout>
                  <c:x val="-3.6949806972077399E-2"/>
                  <c:y val="-5.171436419858672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Calculator!$F$33:$F$42</c:f>
              <c:strCache>
                <c:ptCount val="10"/>
                <c:pt idx="0">
                  <c:v>Committed Loads</c:v>
                </c:pt>
                <c:pt idx="1">
                  <c:v>Committed Stores</c:v>
                </c:pt>
                <c:pt idx="2">
                  <c:v>Committed Memops</c:v>
                </c:pt>
                <c:pt idx="3">
                  <c:v>Committed tc1/vx</c:v>
                </c:pt>
                <c:pt idx="4">
                  <c:v>Committed VMEM Loads</c:v>
                </c:pt>
                <c:pt idx="5">
                  <c:v>Committed VMEM Stores</c:v>
                </c:pt>
                <c:pt idx="6">
                  <c:v>Committed Cond Branches</c:v>
                </c:pt>
                <c:pt idx="7">
                  <c:v>Committed Uncond Branches</c:v>
                </c:pt>
                <c:pt idx="8">
                  <c:v>Committed Endloops</c:v>
                </c:pt>
                <c:pt idx="9">
                  <c:v>Committed ComplexALU</c:v>
                </c:pt>
              </c:strCache>
            </c:strRef>
          </c:cat>
          <c:val>
            <c:numRef>
              <c:f>Calculator!$J$33:$J$42</c:f>
              <c:numCache>
                <c:formatCode>0.0%</c:formatCode>
                <c:ptCount val="10"/>
                <c:pt idx="0">
                  <c:v>0.19687043031069779</c:v>
                </c:pt>
                <c:pt idx="1">
                  <c:v>0.13057982109266369</c:v>
                </c:pt>
                <c:pt idx="2">
                  <c:v>9.6504387092780623E-5</c:v>
                </c:pt>
                <c:pt idx="3">
                  <c:v>0.32164687733678649</c:v>
                </c:pt>
                <c:pt idx="4">
                  <c:v>0</c:v>
                </c:pt>
                <c:pt idx="5">
                  <c:v>0</c:v>
                </c:pt>
                <c:pt idx="6">
                  <c:v>9.4528877093006058E-2</c:v>
                </c:pt>
                <c:pt idx="7">
                  <c:v>7.8715483382617996E-2</c:v>
                </c:pt>
                <c:pt idx="8">
                  <c:v>2.2579017534233387E-2</c:v>
                </c:pt>
                <c:pt idx="9">
                  <c:v>0.15498298886290177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HVX</a:t>
            </a:r>
            <a:r>
              <a:rPr lang="en-US" baseline="0"/>
              <a:t> Cycles</a:t>
            </a:r>
            <a:endParaRPr lang="en-US"/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</c:spPr>
          </c:dPt>
          <c:dPt>
            <c:idx val="2"/>
            <c:bubble3D val="0"/>
            <c:spPr>
              <a:solidFill>
                <a:schemeClr val="accent2">
                  <a:lumMod val="50000"/>
                </a:schemeClr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Calculator!$F$126:$F$130</c:f>
              <c:strCache>
                <c:ptCount val="5"/>
                <c:pt idx="0">
                  <c:v>Packets executed on Coproc</c:v>
                </c:pt>
                <c:pt idx="1">
                  <c:v>Coproc interlock stalls</c:v>
                </c:pt>
                <c:pt idx="2">
                  <c:v>Coproc vmem load stalls</c:v>
                </c:pt>
                <c:pt idx="3">
                  <c:v>Coproc vmem store stalls</c:v>
                </c:pt>
                <c:pt idx="4">
                  <c:v>Non coproc packets</c:v>
                </c:pt>
              </c:strCache>
            </c:strRef>
          </c:cat>
          <c:val>
            <c:numRef>
              <c:f>Calculator!$K$126:$K$130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0.96020981927795879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zoomScale="12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"/>
  <sheetViews>
    <sheetView zoomScale="12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5"/>
  <sheetViews>
    <sheetView zoomScale="128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6"/>
  <sheetViews>
    <sheetView zoomScale="128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7"/>
  <sheetViews>
    <sheetView zoomScale="128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4352365</xdr:colOff>
          <xdr:row>0</xdr:row>
          <xdr:rowOff>11206</xdr:rowOff>
        </xdr:from>
        <xdr:to>
          <xdr:col>12</xdr:col>
          <xdr:colOff>5577168</xdr:colOff>
          <xdr:row>1</xdr:row>
          <xdr:rowOff>58831</xdr:rowOff>
        </xdr:to>
        <xdr:sp macro="" textlink="">
          <xdr:nvSpPr>
            <xdr:cNvPr id="6146" name="LoadPmuStatsButton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6680" cy="62954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6680" cy="62954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6680" cy="62954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6680" cy="62954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76680" cy="62954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arch/gitbuilder/arch/pkg/v61_latest/doc/pmu.htm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C3"/>
  <sheetViews>
    <sheetView workbookViewId="0">
      <selection activeCell="A3" sqref="A3"/>
    </sheetView>
  </sheetViews>
  <sheetFormatPr defaultRowHeight="12.75" x14ac:dyDescent="0.2"/>
  <cols>
    <col min="1" max="1" width="10.85546875" bestFit="1" customWidth="1"/>
    <col min="3" max="3" width="116.28515625" customWidth="1"/>
  </cols>
  <sheetData>
    <row r="2" spans="1:3" x14ac:dyDescent="0.2">
      <c r="A2" t="s">
        <v>114</v>
      </c>
    </row>
    <row r="3" spans="1:3" x14ac:dyDescent="0.2">
      <c r="A3" s="31">
        <v>42082</v>
      </c>
      <c r="C3" t="s">
        <v>573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68"/>
  <sheetViews>
    <sheetView tabSelected="1" zoomScale="85" zoomScaleNormal="85" workbookViewId="0">
      <pane ySplit="2" topLeftCell="A3" activePane="bottomLeft" state="frozen"/>
      <selection pane="bottomLeft" activeCell="O2" sqref="O2"/>
    </sheetView>
  </sheetViews>
  <sheetFormatPr defaultRowHeight="12.75" x14ac:dyDescent="0.2"/>
  <cols>
    <col min="1" max="1" width="10.140625" style="17" customWidth="1"/>
    <col min="2" max="2" width="37.28515625" style="17" customWidth="1"/>
    <col min="3" max="3" width="14.42578125" style="18" bestFit="1" customWidth="1"/>
    <col min="4" max="5" width="3.5703125" style="1" customWidth="1"/>
    <col min="6" max="6" width="26.140625" style="2" bestFit="1" customWidth="1"/>
    <col min="7" max="7" width="5.140625" style="3" bestFit="1" customWidth="1"/>
    <col min="8" max="8" width="17" style="13" bestFit="1" customWidth="1"/>
    <col min="9" max="10" width="8.28515625" style="11" customWidth="1"/>
    <col min="11" max="11" width="8.140625" style="11" customWidth="1"/>
    <col min="12" max="12" width="2.42578125" style="11" customWidth="1"/>
    <col min="13" max="13" width="83.7109375" style="12" bestFit="1" customWidth="1"/>
    <col min="14" max="16384" width="9.140625" style="1"/>
  </cols>
  <sheetData>
    <row r="1" spans="1:13" ht="28.5" customHeight="1" x14ac:dyDescent="0.2">
      <c r="A1" s="50" t="s">
        <v>119</v>
      </c>
      <c r="B1" s="50"/>
      <c r="C1" s="50"/>
      <c r="D1" s="35"/>
      <c r="E1" s="35"/>
      <c r="F1" s="49" t="s">
        <v>570</v>
      </c>
      <c r="G1" s="49"/>
      <c r="H1" s="49"/>
      <c r="I1" s="49"/>
      <c r="J1" s="49"/>
      <c r="K1" s="49"/>
      <c r="L1" s="49"/>
      <c r="M1" s="49"/>
    </row>
    <row r="2" spans="1:13" s="26" customFormat="1" ht="26.25" thickBot="1" x14ac:dyDescent="0.25">
      <c r="A2" s="24" t="s">
        <v>104</v>
      </c>
      <c r="B2" s="24" t="s">
        <v>105</v>
      </c>
      <c r="C2" s="25" t="s">
        <v>106</v>
      </c>
      <c r="F2" s="30" t="s">
        <v>103</v>
      </c>
      <c r="G2" s="27"/>
      <c r="H2" s="28" t="s">
        <v>20</v>
      </c>
      <c r="I2" s="29" t="s">
        <v>11</v>
      </c>
      <c r="J2" s="29" t="s">
        <v>26</v>
      </c>
      <c r="K2" s="29" t="s">
        <v>12</v>
      </c>
      <c r="L2" s="29"/>
      <c r="M2" s="29" t="s">
        <v>15</v>
      </c>
    </row>
    <row r="3" spans="1:13" ht="13.5" thickTop="1" x14ac:dyDescent="0.2">
      <c r="A3" s="15"/>
      <c r="B3" s="15"/>
      <c r="C3" s="16"/>
      <c r="H3" s="4"/>
      <c r="I3" s="5"/>
      <c r="J3" s="5"/>
      <c r="K3" s="5"/>
      <c r="L3" s="5"/>
      <c r="M3" s="21"/>
    </row>
    <row r="4" spans="1:13" x14ac:dyDescent="0.2">
      <c r="F4" s="6" t="s">
        <v>225</v>
      </c>
      <c r="G4" s="7"/>
      <c r="H4" s="8">
        <v>24485107</v>
      </c>
      <c r="I4" s="9"/>
      <c r="J4" s="9"/>
      <c r="K4" s="9"/>
      <c r="L4" s="9"/>
      <c r="M4" s="23"/>
    </row>
    <row r="5" spans="1:13" x14ac:dyDescent="0.2">
      <c r="A5" t="s">
        <v>27</v>
      </c>
      <c r="B5" t="s">
        <v>384</v>
      </c>
      <c r="C5">
        <v>0</v>
      </c>
      <c r="F5" s="2" t="s">
        <v>1</v>
      </c>
      <c r="G5" s="3" t="s">
        <v>23</v>
      </c>
      <c r="H5" s="13">
        <f>SUM(H25:H28)</f>
        <v>20828782</v>
      </c>
      <c r="I5" s="19"/>
      <c r="J5" s="19"/>
      <c r="K5" s="19"/>
      <c r="L5" s="19"/>
      <c r="M5" s="12" t="s">
        <v>19</v>
      </c>
    </row>
    <row r="6" spans="1:13" x14ac:dyDescent="0.2">
      <c r="A6" t="s">
        <v>28</v>
      </c>
      <c r="B6" t="s">
        <v>385</v>
      </c>
      <c r="C6">
        <v>0</v>
      </c>
      <c r="F6" s="2" t="s">
        <v>0</v>
      </c>
      <c r="G6" s="3" t="s">
        <v>29</v>
      </c>
      <c r="H6" s="13">
        <f>INDEX(C$2:C$1001, MATCH("*"&amp;G6&amp;"*",A$2:A$1001,0))</f>
        <v>20000001</v>
      </c>
      <c r="I6" s="10">
        <f t="shared" ref="I6" si="0">H6/H$6</f>
        <v>1</v>
      </c>
      <c r="J6" s="10"/>
      <c r="K6" s="10"/>
      <c r="M6" s="12" t="s">
        <v>91</v>
      </c>
    </row>
    <row r="7" spans="1:13" x14ac:dyDescent="0.2">
      <c r="A7" t="s">
        <v>29</v>
      </c>
      <c r="B7" t="s">
        <v>386</v>
      </c>
      <c r="C7">
        <v>20000001</v>
      </c>
      <c r="F7" s="2" t="s">
        <v>293</v>
      </c>
      <c r="H7" s="13">
        <f>H5-H9-H8</f>
        <v>828781</v>
      </c>
      <c r="I7" s="11">
        <f t="shared" ref="I7:I12" si="1">H7/H$6</f>
        <v>4.1439047928047604E-2</v>
      </c>
      <c r="K7" s="40">
        <f>H7/H$5</f>
        <v>3.9790180722041261E-2</v>
      </c>
    </row>
    <row r="8" spans="1:13" x14ac:dyDescent="0.2">
      <c r="A8" t="s">
        <v>30</v>
      </c>
      <c r="B8" t="s">
        <v>387</v>
      </c>
      <c r="C8">
        <v>8843843</v>
      </c>
      <c r="F8" s="2" t="s">
        <v>275</v>
      </c>
      <c r="H8" s="13">
        <f>H6-2*H9</f>
        <v>20000001</v>
      </c>
      <c r="I8" s="10">
        <f t="shared" si="1"/>
        <v>1</v>
      </c>
      <c r="J8" s="10"/>
      <c r="K8" s="40">
        <f>H8/H$5</f>
        <v>0.96020981927795879</v>
      </c>
      <c r="L8" s="19"/>
      <c r="M8" s="12" t="s">
        <v>189</v>
      </c>
    </row>
    <row r="9" spans="1:13" x14ac:dyDescent="0.2">
      <c r="A9" t="s">
        <v>127</v>
      </c>
      <c r="B9" t="s">
        <v>388</v>
      </c>
      <c r="C9">
        <v>0</v>
      </c>
      <c r="F9" s="2" t="s">
        <v>274</v>
      </c>
      <c r="G9" s="3" t="s">
        <v>130</v>
      </c>
      <c r="H9" s="13">
        <f>INDEX(C$2:C$1001, MATCH("*"&amp;G9&amp;"*",A$2:A$1001,0))</f>
        <v>0</v>
      </c>
      <c r="I9" s="10">
        <f t="shared" si="1"/>
        <v>0</v>
      </c>
      <c r="J9" s="10"/>
      <c r="K9" s="40">
        <f>H9/H$5</f>
        <v>0</v>
      </c>
      <c r="L9" s="19"/>
      <c r="M9" s="12" t="s">
        <v>189</v>
      </c>
    </row>
    <row r="10" spans="1:13" x14ac:dyDescent="0.2">
      <c r="A10" t="s">
        <v>128</v>
      </c>
      <c r="B10" t="s">
        <v>389</v>
      </c>
      <c r="C10">
        <v>0</v>
      </c>
      <c r="F10" s="2" t="s">
        <v>219</v>
      </c>
      <c r="G10" s="3" t="s">
        <v>30</v>
      </c>
      <c r="H10" s="13">
        <f>INDEX(C$2:C$1001, MATCH("*"&amp;G10&amp;"*",A$2:A$1001,0))</f>
        <v>8843843</v>
      </c>
      <c r="I10" s="10">
        <f t="shared" si="1"/>
        <v>0.44219212789039358</v>
      </c>
      <c r="J10" s="10"/>
      <c r="K10" s="10"/>
      <c r="L10" s="19"/>
      <c r="M10" s="12" t="s">
        <v>92</v>
      </c>
    </row>
    <row r="11" spans="1:13" x14ac:dyDescent="0.2">
      <c r="A11" t="s">
        <v>129</v>
      </c>
      <c r="B11" t="s">
        <v>390</v>
      </c>
      <c r="C11">
        <v>2925793</v>
      </c>
      <c r="F11" s="2" t="s">
        <v>186</v>
      </c>
      <c r="G11" s="3" t="s">
        <v>129</v>
      </c>
      <c r="H11" s="13">
        <f>INDEX(C$2:C$1001, MATCH("*"&amp;G11&amp;"*",A$2:A$1001,0))</f>
        <v>2925793</v>
      </c>
      <c r="I11" s="10">
        <f t="shared" si="1"/>
        <v>0.14628964268551786</v>
      </c>
      <c r="J11" s="10"/>
      <c r="K11" s="41"/>
      <c r="L11" s="19"/>
      <c r="M11" s="12" t="s">
        <v>187</v>
      </c>
    </row>
    <row r="12" spans="1:13" x14ac:dyDescent="0.2">
      <c r="A12" t="s">
        <v>130</v>
      </c>
      <c r="B12" t="s">
        <v>391</v>
      </c>
      <c r="C12">
        <v>0</v>
      </c>
      <c r="F12" s="2" t="s">
        <v>574</v>
      </c>
      <c r="G12" s="3" t="s">
        <v>396</v>
      </c>
      <c r="H12" s="13">
        <f>INDEX(C$2:C$1001, MATCH("*"&amp;G12&amp;"*",A$2:A$1001,0))</f>
        <v>5189329</v>
      </c>
      <c r="I12" s="11">
        <f t="shared" si="1"/>
        <v>0.25946643702667815</v>
      </c>
      <c r="K12" s="40">
        <f>H12/H$5</f>
        <v>0.24914222060608249</v>
      </c>
    </row>
    <row r="13" spans="1:13" x14ac:dyDescent="0.2">
      <c r="A13" t="s">
        <v>31</v>
      </c>
      <c r="B13" t="s">
        <v>392</v>
      </c>
      <c r="C13">
        <v>2339348</v>
      </c>
      <c r="F13" s="2" t="s">
        <v>234</v>
      </c>
      <c r="H13" s="10">
        <f>H5/H6</f>
        <v>1.0414390479280475</v>
      </c>
      <c r="I13" s="19"/>
      <c r="J13" s="42"/>
      <c r="K13" s="19"/>
      <c r="L13" s="19"/>
      <c r="M13" s="12" t="s">
        <v>220</v>
      </c>
    </row>
    <row r="14" spans="1:13" x14ac:dyDescent="0.2">
      <c r="A14" t="s">
        <v>32</v>
      </c>
      <c r="B14" t="s">
        <v>393</v>
      </c>
      <c r="C14">
        <v>656092</v>
      </c>
      <c r="F14" s="2" t="s">
        <v>188</v>
      </c>
      <c r="H14" s="10">
        <f>(H32+H41*2)/H5</f>
        <v>2.1011636686197015</v>
      </c>
      <c r="M14" s="12" t="s">
        <v>375</v>
      </c>
    </row>
    <row r="15" spans="1:13" x14ac:dyDescent="0.2">
      <c r="A15" t="s">
        <v>394</v>
      </c>
      <c r="B15" t="s">
        <v>395</v>
      </c>
      <c r="C15">
        <v>1735130</v>
      </c>
      <c r="F15" s="2" t="s">
        <v>22</v>
      </c>
      <c r="H15" s="10">
        <f>(H32)/H6</f>
        <v>2.0936870953156452</v>
      </c>
      <c r="M15" s="12" t="s">
        <v>376</v>
      </c>
    </row>
    <row r="16" spans="1:13" x14ac:dyDescent="0.2">
      <c r="A16" t="s">
        <v>396</v>
      </c>
      <c r="B16" t="s">
        <v>397</v>
      </c>
      <c r="C16">
        <v>5189329</v>
      </c>
      <c r="F16" s="2" t="s">
        <v>224</v>
      </c>
      <c r="H16" s="10">
        <f>(H25/3 + 2*H26/3 + H27 + H28)/H6</f>
        <v>1.041438814594726</v>
      </c>
      <c r="M16" s="12" t="s">
        <v>221</v>
      </c>
    </row>
    <row r="17" spans="1:13" x14ac:dyDescent="0.2">
      <c r="A17" t="s">
        <v>33</v>
      </c>
      <c r="B17" t="s">
        <v>398</v>
      </c>
      <c r="C17">
        <v>653076</v>
      </c>
      <c r="F17" s="2" t="s">
        <v>223</v>
      </c>
      <c r="H17" s="10">
        <f>(H25/2 + H26 + H27 + H28)/H6</f>
        <v>1.0414388729280564</v>
      </c>
      <c r="M17" s="12" t="s">
        <v>222</v>
      </c>
    </row>
    <row r="18" spans="1:13" x14ac:dyDescent="0.2">
      <c r="A18" t="s">
        <v>34</v>
      </c>
      <c r="B18" t="s">
        <v>399</v>
      </c>
      <c r="C18">
        <v>437918</v>
      </c>
      <c r="F18" s="2" t="s">
        <v>227</v>
      </c>
      <c r="G18" s="3" t="s">
        <v>131</v>
      </c>
      <c r="H18" s="10">
        <f>IF(H28,H28/INDEX(C$2:C$1001,MATCH("*"&amp;G18&amp;"*",A$2:A$1001,0)),0)</f>
        <v>1.0414388020719401</v>
      </c>
      <c r="M18" s="12" t="s">
        <v>226</v>
      </c>
    </row>
    <row r="19" spans="1:13" x14ac:dyDescent="0.2">
      <c r="A19" t="s">
        <v>35</v>
      </c>
      <c r="B19" t="s">
        <v>400</v>
      </c>
      <c r="C19">
        <v>0</v>
      </c>
      <c r="F19" s="2" t="s">
        <v>228</v>
      </c>
      <c r="G19" s="3" t="s">
        <v>37</v>
      </c>
      <c r="H19" s="10">
        <f>IF(H27,H27/INDEX(C$2:C$1001,MATCH("*"&amp;G19&amp;"*",A$2:A$1001,0)),0)</f>
        <v>0</v>
      </c>
      <c r="M19" s="12" t="s">
        <v>231</v>
      </c>
    </row>
    <row r="20" spans="1:13" x14ac:dyDescent="0.2">
      <c r="A20" t="s">
        <v>36</v>
      </c>
      <c r="B20" t="s">
        <v>401</v>
      </c>
      <c r="C20">
        <v>0</v>
      </c>
      <c r="F20" s="2" t="s">
        <v>229</v>
      </c>
      <c r="G20" s="3" t="s">
        <v>36</v>
      </c>
      <c r="H20" s="10">
        <f>IF(H26,H26/INDEX(C$2:C$1001,MATCH("*"&amp;G20&amp;"*",A$2:A$1001,0)),0)</f>
        <v>0</v>
      </c>
      <c r="M20" s="12" t="s">
        <v>232</v>
      </c>
    </row>
    <row r="21" spans="1:13" x14ac:dyDescent="0.2">
      <c r="A21" t="s">
        <v>37</v>
      </c>
      <c r="B21" t="s">
        <v>402</v>
      </c>
      <c r="C21">
        <v>0</v>
      </c>
      <c r="F21" s="2" t="s">
        <v>230</v>
      </c>
      <c r="G21" s="3" t="s">
        <v>35</v>
      </c>
      <c r="H21" s="10" t="e">
        <f>IF(H25,H25/INDEX(C$2:C$1001,MATCH("*"&amp;G21&amp;"*",A$2:A$1001,0)),0)</f>
        <v>#DIV/0!</v>
      </c>
      <c r="M21" s="12" t="s">
        <v>339</v>
      </c>
    </row>
    <row r="22" spans="1:13" x14ac:dyDescent="0.2">
      <c r="A22" t="s">
        <v>38</v>
      </c>
      <c r="B22" t="s">
        <v>403</v>
      </c>
      <c r="C22">
        <v>41873744</v>
      </c>
    </row>
    <row r="23" spans="1:13" x14ac:dyDescent="0.2">
      <c r="A23" t="s">
        <v>337</v>
      </c>
      <c r="B23" t="s">
        <v>404</v>
      </c>
      <c r="C23">
        <v>13468559</v>
      </c>
      <c r="F23" s="6" t="s">
        <v>24</v>
      </c>
      <c r="G23" s="14"/>
      <c r="H23" s="8"/>
      <c r="I23" s="20"/>
      <c r="J23" s="20"/>
      <c r="K23" s="20"/>
      <c r="L23" s="20"/>
      <c r="M23" s="23"/>
    </row>
    <row r="24" spans="1:13" x14ac:dyDescent="0.2">
      <c r="A24" t="s">
        <v>377</v>
      </c>
      <c r="B24" t="s">
        <v>405</v>
      </c>
      <c r="C24">
        <v>21726438</v>
      </c>
      <c r="F24" s="2" t="s">
        <v>21</v>
      </c>
      <c r="H24" s="13">
        <f>H5-H27-H26-H25-H28</f>
        <v>0</v>
      </c>
      <c r="K24" s="19">
        <f>H24/$H$5</f>
        <v>0</v>
      </c>
      <c r="M24" s="12" t="s">
        <v>102</v>
      </c>
    </row>
    <row r="25" spans="1:13" x14ac:dyDescent="0.2">
      <c r="A25" t="s">
        <v>131</v>
      </c>
      <c r="B25" t="s">
        <v>406</v>
      </c>
      <c r="C25">
        <v>19999999</v>
      </c>
      <c r="F25" s="2" t="s">
        <v>2</v>
      </c>
      <c r="G25" s="3" t="s">
        <v>45</v>
      </c>
      <c r="H25" s="13">
        <f>INDEX(C$2:C$1001, MATCH("*"&amp;G25&amp;"*",A$2:A$1001,0))</f>
        <v>7</v>
      </c>
      <c r="I25" s="19"/>
      <c r="J25" s="19"/>
      <c r="K25" s="19">
        <f>H25/$H$5</f>
        <v>3.3607341994361459E-7</v>
      </c>
      <c r="L25" s="19"/>
      <c r="M25" s="12" t="s">
        <v>16</v>
      </c>
    </row>
    <row r="26" spans="1:13" x14ac:dyDescent="0.2">
      <c r="A26" t="s">
        <v>39</v>
      </c>
      <c r="B26" t="s">
        <v>407</v>
      </c>
      <c r="C26">
        <v>8243702</v>
      </c>
      <c r="F26" s="2" t="s">
        <v>3</v>
      </c>
      <c r="G26" s="3" t="s">
        <v>46</v>
      </c>
      <c r="H26" s="13">
        <f>INDEX(C$2:C$1001, MATCH("*"&amp;G26&amp;"*",A$2:A$1001,0))</f>
        <v>0</v>
      </c>
      <c r="I26" s="19"/>
      <c r="J26" s="19"/>
      <c r="K26" s="19">
        <f>H26/$H$5</f>
        <v>0</v>
      </c>
      <c r="L26" s="19"/>
      <c r="M26" s="12" t="s">
        <v>17</v>
      </c>
    </row>
    <row r="27" spans="1:13" x14ac:dyDescent="0.2">
      <c r="A27" t="s">
        <v>40</v>
      </c>
      <c r="B27" t="s">
        <v>408</v>
      </c>
      <c r="C27">
        <v>5467866</v>
      </c>
      <c r="F27" s="2" t="s">
        <v>4</v>
      </c>
      <c r="G27" s="3" t="s">
        <v>47</v>
      </c>
      <c r="H27" s="13">
        <f>INDEX(C$2:C$1001, MATCH("*"&amp;G27&amp;"*",A$2:A$1001,0))</f>
        <v>0</v>
      </c>
      <c r="I27" s="19"/>
      <c r="J27" s="19"/>
      <c r="K27" s="19">
        <f>H27/$H$5</f>
        <v>0</v>
      </c>
      <c r="L27" s="19"/>
      <c r="M27" s="12" t="s">
        <v>18</v>
      </c>
    </row>
    <row r="28" spans="1:13" x14ac:dyDescent="0.2">
      <c r="A28" t="s">
        <v>41</v>
      </c>
      <c r="B28" t="s">
        <v>409</v>
      </c>
      <c r="C28">
        <v>4041</v>
      </c>
      <c r="F28" s="2" t="s">
        <v>116</v>
      </c>
      <c r="G28" s="3" t="s">
        <v>117</v>
      </c>
      <c r="H28" s="13">
        <f>INDEX(C$2:C$1001, MATCH("*"&amp;G28&amp;"*",A$2:A$1001,0))</f>
        <v>20828775</v>
      </c>
      <c r="K28" s="19">
        <f>H28/$H$5</f>
        <v>0.99999966392658002</v>
      </c>
      <c r="M28" s="12" t="s">
        <v>118</v>
      </c>
    </row>
    <row r="29" spans="1:13" x14ac:dyDescent="0.2">
      <c r="A29" t="s">
        <v>42</v>
      </c>
      <c r="B29" t="s">
        <v>410</v>
      </c>
      <c r="C29">
        <v>8199858</v>
      </c>
      <c r="F29" s="2" t="s">
        <v>24</v>
      </c>
      <c r="H29" s="10">
        <f>(H25+H26*2+H27*3+H28*4)/H5</f>
        <v>3.9999989917797403</v>
      </c>
      <c r="I29" s="19"/>
      <c r="J29" s="19"/>
      <c r="K29" s="19"/>
      <c r="L29" s="19"/>
      <c r="M29" s="12" t="s">
        <v>89</v>
      </c>
    </row>
    <row r="30" spans="1:13" x14ac:dyDescent="0.2">
      <c r="A30" t="s">
        <v>43</v>
      </c>
      <c r="B30" t="s">
        <v>411</v>
      </c>
      <c r="C30">
        <v>5676887</v>
      </c>
      <c r="H30" s="45"/>
    </row>
    <row r="31" spans="1:13" x14ac:dyDescent="0.2">
      <c r="A31" t="s">
        <v>44</v>
      </c>
      <c r="B31" t="s">
        <v>412</v>
      </c>
      <c r="C31">
        <v>945468</v>
      </c>
      <c r="F31" s="6" t="s">
        <v>233</v>
      </c>
      <c r="G31" s="14"/>
      <c r="H31" s="8"/>
      <c r="I31" s="20"/>
      <c r="J31" s="20"/>
      <c r="K31" s="20"/>
      <c r="L31" s="20"/>
      <c r="M31" s="23"/>
    </row>
    <row r="32" spans="1:13" x14ac:dyDescent="0.2">
      <c r="A32" t="s">
        <v>45</v>
      </c>
      <c r="B32" t="s">
        <v>413</v>
      </c>
      <c r="C32">
        <v>7</v>
      </c>
      <c r="F32" s="2" t="s">
        <v>25</v>
      </c>
      <c r="G32" s="3" t="s">
        <v>38</v>
      </c>
      <c r="H32" s="13">
        <f t="shared" ref="H32:H39" si="2">INDEX(C$2:C$1001, MATCH("*"&amp;G32&amp;"*",A$2:A$1001,0))</f>
        <v>41873744</v>
      </c>
      <c r="I32" s="10">
        <f t="shared" ref="I32:I44" si="3">H32/H$6</f>
        <v>2.0936870953156452</v>
      </c>
      <c r="J32" s="43"/>
      <c r="K32" s="10"/>
      <c r="M32" s="12" t="s">
        <v>90</v>
      </c>
    </row>
    <row r="33" spans="1:13" x14ac:dyDescent="0.2">
      <c r="A33" t="s">
        <v>46</v>
      </c>
      <c r="B33" t="s">
        <v>414</v>
      </c>
      <c r="C33">
        <v>0</v>
      </c>
      <c r="F33" s="2" t="s">
        <v>13</v>
      </c>
      <c r="G33" s="3" t="s">
        <v>39</v>
      </c>
      <c r="H33" s="13">
        <f t="shared" si="2"/>
        <v>8243702</v>
      </c>
      <c r="I33" s="10">
        <f t="shared" si="3"/>
        <v>0.41218507939074606</v>
      </c>
      <c r="J33" s="19">
        <f t="shared" ref="J33:J44" si="4">H33/H$32</f>
        <v>0.19687043031069779</v>
      </c>
      <c r="K33" s="10"/>
      <c r="L33" s="19"/>
      <c r="M33" s="12" t="s">
        <v>215</v>
      </c>
    </row>
    <row r="34" spans="1:13" x14ac:dyDescent="0.2">
      <c r="A34" t="s">
        <v>47</v>
      </c>
      <c r="B34" t="s">
        <v>415</v>
      </c>
      <c r="C34">
        <v>0</v>
      </c>
      <c r="F34" s="2" t="s">
        <v>14</v>
      </c>
      <c r="G34" s="3" t="s">
        <v>40</v>
      </c>
      <c r="H34" s="13">
        <f t="shared" si="2"/>
        <v>5467866</v>
      </c>
      <c r="I34" s="10">
        <f t="shared" si="3"/>
        <v>0.27339328633033566</v>
      </c>
      <c r="J34" s="19">
        <f t="shared" si="4"/>
        <v>0.13057982109266369</v>
      </c>
      <c r="K34" s="10"/>
      <c r="L34" s="19"/>
      <c r="M34" s="12" t="s">
        <v>216</v>
      </c>
    </row>
    <row r="35" spans="1:13" x14ac:dyDescent="0.2">
      <c r="A35" t="s">
        <v>117</v>
      </c>
      <c r="B35" t="s">
        <v>416</v>
      </c>
      <c r="C35">
        <v>20828775</v>
      </c>
      <c r="F35" s="2" t="s">
        <v>214</v>
      </c>
      <c r="G35" s="3" t="s">
        <v>41</v>
      </c>
      <c r="H35" s="13">
        <f t="shared" si="2"/>
        <v>4041</v>
      </c>
      <c r="I35" s="10">
        <f t="shared" si="3"/>
        <v>2.0204998989750049E-4</v>
      </c>
      <c r="J35" s="19">
        <f t="shared" si="4"/>
        <v>9.6504387092780623E-5</v>
      </c>
      <c r="K35" s="10"/>
      <c r="L35" s="19"/>
      <c r="M35" s="12" t="s">
        <v>217</v>
      </c>
    </row>
    <row r="36" spans="1:13" x14ac:dyDescent="0.2">
      <c r="A36" t="s">
        <v>48</v>
      </c>
      <c r="B36" t="s">
        <v>417</v>
      </c>
      <c r="C36">
        <v>53989</v>
      </c>
      <c r="F36" s="2" t="s">
        <v>380</v>
      </c>
      <c r="G36" s="48" t="s">
        <v>337</v>
      </c>
      <c r="H36" s="13">
        <f t="shared" si="2"/>
        <v>13468559</v>
      </c>
      <c r="I36" s="10">
        <f t="shared" si="3"/>
        <v>0.67342791632860421</v>
      </c>
      <c r="J36" s="19">
        <f t="shared" si="4"/>
        <v>0.32164687733678649</v>
      </c>
      <c r="K36" s="10"/>
      <c r="L36" s="19"/>
      <c r="M36" s="12" t="s">
        <v>379</v>
      </c>
    </row>
    <row r="37" spans="1:13" x14ac:dyDescent="0.2">
      <c r="A37" t="s">
        <v>49</v>
      </c>
      <c r="B37" t="s">
        <v>418</v>
      </c>
      <c r="C37">
        <v>260</v>
      </c>
      <c r="F37" s="2" t="s">
        <v>381</v>
      </c>
      <c r="G37" s="3" t="s">
        <v>185</v>
      </c>
      <c r="H37" s="13">
        <f t="shared" si="2"/>
        <v>0</v>
      </c>
      <c r="I37" s="10">
        <f t="shared" si="3"/>
        <v>0</v>
      </c>
      <c r="J37" s="19">
        <f t="shared" si="4"/>
        <v>0</v>
      </c>
      <c r="K37" s="10"/>
      <c r="L37" s="19"/>
      <c r="M37" s="12" t="s">
        <v>383</v>
      </c>
    </row>
    <row r="38" spans="1:13" x14ac:dyDescent="0.2">
      <c r="A38" t="s">
        <v>200</v>
      </c>
      <c r="B38" t="s">
        <v>419</v>
      </c>
      <c r="C38">
        <v>199202</v>
      </c>
      <c r="F38" s="2" t="s">
        <v>382</v>
      </c>
      <c r="G38" s="3" t="s">
        <v>183</v>
      </c>
      <c r="H38" s="13">
        <f t="shared" si="2"/>
        <v>0</v>
      </c>
      <c r="I38" s="10">
        <f t="shared" si="3"/>
        <v>0</v>
      </c>
      <c r="J38" s="19">
        <f t="shared" si="4"/>
        <v>0</v>
      </c>
      <c r="K38" s="10"/>
      <c r="L38" s="19"/>
      <c r="M38" s="12" t="s">
        <v>383</v>
      </c>
    </row>
    <row r="39" spans="1:13" x14ac:dyDescent="0.2">
      <c r="A39" t="s">
        <v>50</v>
      </c>
      <c r="B39" t="s">
        <v>420</v>
      </c>
      <c r="C39">
        <v>0</v>
      </c>
      <c r="F39" s="2" t="s">
        <v>238</v>
      </c>
      <c r="G39" s="3" t="s">
        <v>58</v>
      </c>
      <c r="H39" s="13">
        <f t="shared" si="2"/>
        <v>3958278</v>
      </c>
      <c r="I39" s="10">
        <f t="shared" si="3"/>
        <v>0.19791389010430549</v>
      </c>
      <c r="J39" s="19">
        <f t="shared" si="4"/>
        <v>9.4528877093006058E-2</v>
      </c>
      <c r="K39" s="10"/>
      <c r="L39" s="19"/>
      <c r="M39" s="12" t="s">
        <v>240</v>
      </c>
    </row>
    <row r="40" spans="1:13" x14ac:dyDescent="0.2">
      <c r="A40" t="s">
        <v>51</v>
      </c>
      <c r="B40" t="s">
        <v>421</v>
      </c>
      <c r="C40">
        <v>4656</v>
      </c>
      <c r="F40" s="2" t="s">
        <v>269</v>
      </c>
      <c r="H40" s="13">
        <f>H43-H39-H41</f>
        <v>3296112</v>
      </c>
      <c r="I40" s="10">
        <f t="shared" si="3"/>
        <v>0.1648055917597204</v>
      </c>
      <c r="J40" s="19">
        <f t="shared" si="4"/>
        <v>7.8715483382617996E-2</v>
      </c>
      <c r="K40" s="10"/>
      <c r="L40" s="19"/>
      <c r="M40" s="12" t="s">
        <v>271</v>
      </c>
    </row>
    <row r="41" spans="1:13" x14ac:dyDescent="0.2">
      <c r="A41" t="s">
        <v>52</v>
      </c>
      <c r="B41" t="s">
        <v>422</v>
      </c>
      <c r="C41">
        <v>14714</v>
      </c>
      <c r="F41" s="2" t="s">
        <v>239</v>
      </c>
      <c r="G41" s="3" t="s">
        <v>44</v>
      </c>
      <c r="H41" s="13">
        <f>INDEX(C$2:C$1001, MATCH("*"&amp;G41&amp;"*",A$2:A$1001,0))</f>
        <v>945468</v>
      </c>
      <c r="I41" s="10">
        <f t="shared" si="3"/>
        <v>4.7273397636330115E-2</v>
      </c>
      <c r="J41" s="19">
        <f t="shared" si="4"/>
        <v>2.2579017534233387E-2</v>
      </c>
      <c r="K41" s="10"/>
      <c r="L41" s="19"/>
      <c r="M41" s="12" t="s">
        <v>241</v>
      </c>
    </row>
    <row r="42" spans="1:13" x14ac:dyDescent="0.2">
      <c r="A42" t="s">
        <v>53</v>
      </c>
      <c r="B42" t="s">
        <v>423</v>
      </c>
      <c r="C42">
        <v>0</v>
      </c>
      <c r="F42" s="2" t="s">
        <v>299</v>
      </c>
      <c r="H42" s="13">
        <f>H32-SUM(H33:H36)-H43</f>
        <v>6489718</v>
      </c>
      <c r="I42" s="10">
        <f t="shared" si="3"/>
        <v>0.32448588377570581</v>
      </c>
      <c r="J42" s="19">
        <f t="shared" si="4"/>
        <v>0.15498298886290177</v>
      </c>
      <c r="K42" s="10"/>
      <c r="L42" s="19"/>
      <c r="M42" s="12" t="s">
        <v>300</v>
      </c>
    </row>
    <row r="43" spans="1:13" x14ac:dyDescent="0.2">
      <c r="A43" t="s">
        <v>54</v>
      </c>
      <c r="B43" t="s">
        <v>424</v>
      </c>
      <c r="C43">
        <v>0</v>
      </c>
      <c r="F43" s="2" t="s">
        <v>268</v>
      </c>
      <c r="G43" s="3" t="s">
        <v>42</v>
      </c>
      <c r="H43" s="13">
        <f>INDEX(C$2:C$1001, MATCH("*"&amp;G43&amp;"*",A$2:A$1001,0))</f>
        <v>8199858</v>
      </c>
      <c r="I43" s="10">
        <f t="shared" si="3"/>
        <v>0.40999287950035601</v>
      </c>
      <c r="J43" s="19">
        <f t="shared" si="4"/>
        <v>0.19582337800985744</v>
      </c>
      <c r="K43" s="10"/>
      <c r="L43" s="19"/>
      <c r="M43" s="12" t="s">
        <v>270</v>
      </c>
    </row>
    <row r="44" spans="1:13" x14ac:dyDescent="0.2">
      <c r="A44" t="s">
        <v>201</v>
      </c>
      <c r="B44" t="s">
        <v>425</v>
      </c>
      <c r="C44">
        <v>64945</v>
      </c>
      <c r="F44" s="2" t="s">
        <v>272</v>
      </c>
      <c r="G44" s="3" t="s">
        <v>43</v>
      </c>
      <c r="H44" s="13">
        <f>INDEX(C$2:C$1001, MATCH("*"&amp;G44&amp;"*",A$2:A$1001,0))</f>
        <v>5676887</v>
      </c>
      <c r="I44" s="10">
        <f t="shared" si="3"/>
        <v>0.28384433580778323</v>
      </c>
      <c r="J44" s="19">
        <f t="shared" si="4"/>
        <v>0.13557151708239892</v>
      </c>
      <c r="K44" s="10"/>
      <c r="L44" s="19"/>
      <c r="M44" s="12" t="s">
        <v>218</v>
      </c>
    </row>
    <row r="45" spans="1:13" x14ac:dyDescent="0.2">
      <c r="A45" t="s">
        <v>202</v>
      </c>
      <c r="B45" t="s">
        <v>426</v>
      </c>
      <c r="C45">
        <v>30547</v>
      </c>
    </row>
    <row r="46" spans="1:13" x14ac:dyDescent="0.2">
      <c r="A46" t="s">
        <v>203</v>
      </c>
      <c r="B46" t="s">
        <v>427</v>
      </c>
      <c r="C46">
        <v>112995</v>
      </c>
      <c r="F46" s="6" t="s">
        <v>298</v>
      </c>
      <c r="G46" s="14"/>
      <c r="H46" s="8"/>
      <c r="I46" s="20"/>
      <c r="J46" s="20"/>
      <c r="K46" s="20"/>
      <c r="L46" s="20"/>
      <c r="M46" s="23"/>
    </row>
    <row r="47" spans="1:13" x14ac:dyDescent="0.2">
      <c r="A47" t="s">
        <v>204</v>
      </c>
      <c r="B47" t="s">
        <v>428</v>
      </c>
      <c r="C47">
        <v>0</v>
      </c>
      <c r="F47" s="2" t="s">
        <v>285</v>
      </c>
      <c r="G47" s="3" t="s">
        <v>175</v>
      </c>
      <c r="H47" s="13">
        <f t="shared" ref="H47:H54" si="5">INDEX(C$2:C$1001, MATCH("*"&amp;G47&amp;"*",A$2:A$1001,0))</f>
        <v>0</v>
      </c>
      <c r="I47" s="10">
        <f t="shared" ref="I47:I55" si="6">H47/H$6</f>
        <v>0</v>
      </c>
      <c r="J47" s="10">
        <f t="shared" ref="J47:J55" si="7">H47/H$32</f>
        <v>0</v>
      </c>
      <c r="K47" s="39">
        <f t="shared" ref="K47:K55" si="8">H47/H$5</f>
        <v>0</v>
      </c>
      <c r="L47" s="19"/>
      <c r="M47" s="37" t="s">
        <v>277</v>
      </c>
    </row>
    <row r="48" spans="1:13" x14ac:dyDescent="0.2">
      <c r="A48" t="s">
        <v>132</v>
      </c>
      <c r="B48" t="s">
        <v>429</v>
      </c>
      <c r="C48">
        <v>0</v>
      </c>
      <c r="F48" s="2" t="s">
        <v>287</v>
      </c>
      <c r="G48" s="3" t="s">
        <v>176</v>
      </c>
      <c r="H48" s="13">
        <f t="shared" si="5"/>
        <v>1888198</v>
      </c>
      <c r="I48" s="10">
        <f t="shared" si="6"/>
        <v>9.4409895279505232E-2</v>
      </c>
      <c r="J48" s="10">
        <f t="shared" si="7"/>
        <v>4.5092648032619198E-2</v>
      </c>
      <c r="K48" s="39">
        <f t="shared" si="8"/>
        <v>9.0653308484384729E-2</v>
      </c>
      <c r="L48" s="19"/>
      <c r="M48" s="12" t="s">
        <v>279</v>
      </c>
    </row>
    <row r="49" spans="1:14" x14ac:dyDescent="0.2">
      <c r="A49" t="s">
        <v>55</v>
      </c>
      <c r="B49" t="s">
        <v>430</v>
      </c>
      <c r="C49">
        <v>59150</v>
      </c>
      <c r="F49" s="2" t="s">
        <v>286</v>
      </c>
      <c r="G49" s="3" t="s">
        <v>177</v>
      </c>
      <c r="H49" s="13">
        <f t="shared" si="5"/>
        <v>2346427</v>
      </c>
      <c r="I49" s="10">
        <f t="shared" si="6"/>
        <v>0.11732134413393279</v>
      </c>
      <c r="J49" s="10">
        <f t="shared" si="7"/>
        <v>5.6035758350148963E-2</v>
      </c>
      <c r="K49" s="39">
        <f t="shared" si="8"/>
        <v>0.11265310664829081</v>
      </c>
      <c r="L49" s="19"/>
      <c r="M49" s="37" t="s">
        <v>278</v>
      </c>
    </row>
    <row r="50" spans="1:14" x14ac:dyDescent="0.2">
      <c r="A50" t="s">
        <v>56</v>
      </c>
      <c r="B50" t="s">
        <v>431</v>
      </c>
      <c r="C50">
        <v>88970</v>
      </c>
      <c r="F50" s="2" t="s">
        <v>567</v>
      </c>
      <c r="G50" s="3" t="s">
        <v>206</v>
      </c>
      <c r="H50" s="13">
        <f t="shared" si="5"/>
        <v>5798459</v>
      </c>
      <c r="I50" s="10">
        <f t="shared" si="6"/>
        <v>0.28992293550385323</v>
      </c>
      <c r="J50" s="10">
        <f t="shared" si="7"/>
        <v>0.13847481610433499</v>
      </c>
      <c r="K50" s="39">
        <f t="shared" si="8"/>
        <v>0.27838684950469017</v>
      </c>
      <c r="L50" s="19"/>
      <c r="M50" s="12" t="s">
        <v>280</v>
      </c>
    </row>
    <row r="51" spans="1:14" x14ac:dyDescent="0.2">
      <c r="A51" t="s">
        <v>57</v>
      </c>
      <c r="B51" t="s">
        <v>432</v>
      </c>
      <c r="C51">
        <v>152331</v>
      </c>
      <c r="F51" s="2" t="s">
        <v>288</v>
      </c>
      <c r="G51" s="3" t="s">
        <v>207</v>
      </c>
      <c r="H51" s="13">
        <f t="shared" si="5"/>
        <v>3149592</v>
      </c>
      <c r="I51" s="10">
        <f t="shared" si="6"/>
        <v>0.15747959212602039</v>
      </c>
      <c r="J51" s="10">
        <f t="shared" si="7"/>
        <v>7.5216393356180425E-2</v>
      </c>
      <c r="K51" s="39">
        <f t="shared" si="8"/>
        <v>0.15121345069529268</v>
      </c>
      <c r="L51" s="19"/>
      <c r="M51" s="12" t="s">
        <v>281</v>
      </c>
    </row>
    <row r="52" spans="1:14" x14ac:dyDescent="0.2">
      <c r="A52" t="s">
        <v>115</v>
      </c>
      <c r="B52" t="s">
        <v>433</v>
      </c>
      <c r="C52">
        <v>0</v>
      </c>
      <c r="F52" s="2" t="s">
        <v>289</v>
      </c>
      <c r="G52" s="3" t="s">
        <v>208</v>
      </c>
      <c r="H52" s="13">
        <f t="shared" si="5"/>
        <v>7014838</v>
      </c>
      <c r="I52" s="10">
        <f t="shared" si="6"/>
        <v>0.35074188246290589</v>
      </c>
      <c r="J52" s="10">
        <f t="shared" si="7"/>
        <v>0.16752354410916778</v>
      </c>
      <c r="K52" s="39">
        <f t="shared" si="8"/>
        <v>0.33678579957291788</v>
      </c>
      <c r="M52" s="12" t="s">
        <v>282</v>
      </c>
    </row>
    <row r="53" spans="1:14" x14ac:dyDescent="0.2">
      <c r="A53" t="s">
        <v>133</v>
      </c>
      <c r="B53" t="s">
        <v>434</v>
      </c>
      <c r="C53">
        <v>1281729</v>
      </c>
      <c r="F53" s="2" t="s">
        <v>290</v>
      </c>
      <c r="G53" s="3" t="s">
        <v>209</v>
      </c>
      <c r="H53" s="13">
        <f t="shared" si="5"/>
        <v>1042839</v>
      </c>
      <c r="I53" s="10">
        <f t="shared" si="6"/>
        <v>5.2141947392902628E-2</v>
      </c>
      <c r="J53" s="10">
        <f t="shared" si="7"/>
        <v>2.4904364892711767E-2</v>
      </c>
      <c r="K53" s="39">
        <f t="shared" si="8"/>
        <v>5.0067209882939868E-2</v>
      </c>
      <c r="M53" s="12" t="s">
        <v>283</v>
      </c>
    </row>
    <row r="54" spans="1:14" x14ac:dyDescent="0.2">
      <c r="A54" t="s">
        <v>205</v>
      </c>
      <c r="B54" t="s">
        <v>435</v>
      </c>
      <c r="C54">
        <v>80605</v>
      </c>
      <c r="F54" s="2" t="s">
        <v>291</v>
      </c>
      <c r="G54" s="3" t="s">
        <v>210</v>
      </c>
      <c r="H54" s="13">
        <f t="shared" si="5"/>
        <v>42853</v>
      </c>
      <c r="I54" s="10">
        <f t="shared" si="6"/>
        <v>2.1426498928675056E-3</v>
      </c>
      <c r="J54" s="10">
        <f t="shared" si="7"/>
        <v>1.0233859193484107E-3</v>
      </c>
      <c r="K54" s="39">
        <f t="shared" si="8"/>
        <v>2.057393466406245E-3</v>
      </c>
      <c r="M54" s="12" t="s">
        <v>284</v>
      </c>
    </row>
    <row r="55" spans="1:14" x14ac:dyDescent="0.2">
      <c r="A55" t="s">
        <v>58</v>
      </c>
      <c r="B55" t="s">
        <v>436</v>
      </c>
      <c r="C55">
        <v>3958278</v>
      </c>
      <c r="F55" s="2" t="s">
        <v>292</v>
      </c>
      <c r="H55" s="13">
        <f>H6</f>
        <v>20000001</v>
      </c>
      <c r="I55" s="10">
        <f t="shared" si="6"/>
        <v>1</v>
      </c>
      <c r="J55" s="10">
        <f t="shared" si="7"/>
        <v>0.47762629011630775</v>
      </c>
      <c r="K55" s="39">
        <f t="shared" si="8"/>
        <v>0.96020981927795879</v>
      </c>
      <c r="M55" s="12" t="s">
        <v>276</v>
      </c>
    </row>
    <row r="56" spans="1:14" x14ac:dyDescent="0.2">
      <c r="A56" t="s">
        <v>134</v>
      </c>
      <c r="B56" t="s">
        <v>437</v>
      </c>
      <c r="C56">
        <v>0</v>
      </c>
    </row>
    <row r="57" spans="1:14" x14ac:dyDescent="0.2">
      <c r="A57" t="s">
        <v>378</v>
      </c>
      <c r="B57" t="s">
        <v>438</v>
      </c>
      <c r="C57">
        <v>284622</v>
      </c>
      <c r="F57" s="6" t="s">
        <v>235</v>
      </c>
      <c r="G57" s="14"/>
      <c r="H57" s="8"/>
      <c r="I57" s="34"/>
      <c r="J57" s="34"/>
      <c r="K57" s="34"/>
      <c r="L57" s="20"/>
      <c r="M57" s="23"/>
    </row>
    <row r="58" spans="1:14" x14ac:dyDescent="0.2">
      <c r="A58" t="s">
        <v>439</v>
      </c>
      <c r="B58" t="s">
        <v>440</v>
      </c>
      <c r="C58">
        <v>908189</v>
      </c>
      <c r="F58" s="2" t="s">
        <v>5</v>
      </c>
      <c r="G58" s="3" t="s">
        <v>33</v>
      </c>
      <c r="H58" s="13">
        <f t="shared" ref="H58:H69" si="9">INDEX(C$2:C$1001, MATCH("*"&amp;G58&amp;"*",A$2:A$1001,0))</f>
        <v>653076</v>
      </c>
      <c r="I58" s="10">
        <f t="shared" ref="I58:I69" si="10">H58/H$6</f>
        <v>3.2653798367310083E-2</v>
      </c>
      <c r="J58" s="10">
        <f t="shared" ref="J58:J69" si="11">H58/H$32</f>
        <v>1.5596312572384261E-2</v>
      </c>
      <c r="K58" s="10">
        <f t="shared" ref="K58:K69" si="12">H58/H$5</f>
        <v>3.1354497829013721E-2</v>
      </c>
      <c r="L58" s="19"/>
      <c r="M58" s="12" t="s">
        <v>93</v>
      </c>
    </row>
    <row r="59" spans="1:14" x14ac:dyDescent="0.2">
      <c r="A59" t="s">
        <v>59</v>
      </c>
      <c r="B59" t="s">
        <v>441</v>
      </c>
      <c r="C59">
        <v>0</v>
      </c>
      <c r="F59" s="2" t="s">
        <v>253</v>
      </c>
      <c r="G59" s="3" t="s">
        <v>34</v>
      </c>
      <c r="H59" s="13">
        <f t="shared" si="9"/>
        <v>437918</v>
      </c>
      <c r="I59" s="10">
        <f t="shared" si="10"/>
        <v>2.1895898905205054E-2</v>
      </c>
      <c r="J59" s="10">
        <f t="shared" si="11"/>
        <v>1.0458056962854814E-2</v>
      </c>
      <c r="K59" s="10">
        <f t="shared" si="12"/>
        <v>2.1024657130695401E-2</v>
      </c>
      <c r="L59" s="19"/>
      <c r="M59" s="12" t="s">
        <v>94</v>
      </c>
    </row>
    <row r="60" spans="1:14" x14ac:dyDescent="0.2">
      <c r="A60" t="s">
        <v>135</v>
      </c>
      <c r="B60" t="s">
        <v>442</v>
      </c>
      <c r="C60">
        <v>6264979</v>
      </c>
      <c r="F60" s="2" t="s">
        <v>191</v>
      </c>
      <c r="G60" s="3" t="s">
        <v>147</v>
      </c>
      <c r="H60" s="13">
        <f t="shared" si="9"/>
        <v>67047</v>
      </c>
      <c r="I60" s="10">
        <f t="shared" si="10"/>
        <v>3.3523498323825085E-3</v>
      </c>
      <c r="J60" s="10">
        <f t="shared" si="11"/>
        <v>1.6011704136128836E-3</v>
      </c>
      <c r="K60" s="10">
        <f t="shared" si="12"/>
        <v>3.2189592267085035E-3</v>
      </c>
      <c r="M60" s="12" t="s">
        <v>190</v>
      </c>
    </row>
    <row r="61" spans="1:14" x14ac:dyDescent="0.2">
      <c r="A61" t="s">
        <v>136</v>
      </c>
      <c r="B61" t="s">
        <v>443</v>
      </c>
      <c r="C61">
        <v>542190</v>
      </c>
      <c r="F61" s="2" t="s">
        <v>242</v>
      </c>
      <c r="G61" s="3" t="s">
        <v>148</v>
      </c>
      <c r="H61" s="13">
        <f t="shared" si="9"/>
        <v>167550</v>
      </c>
      <c r="I61" s="10">
        <f t="shared" si="10"/>
        <v>8.3774995811250214E-3</v>
      </c>
      <c r="J61" s="10">
        <f t="shared" si="11"/>
        <v>4.0013140453836653E-3</v>
      </c>
      <c r="K61" s="10">
        <f t="shared" si="12"/>
        <v>8.0441573587932309E-3</v>
      </c>
      <c r="M61" s="12" t="s">
        <v>254</v>
      </c>
    </row>
    <row r="62" spans="1:14" x14ac:dyDescent="0.2">
      <c r="A62" t="s">
        <v>137</v>
      </c>
      <c r="B62" t="s">
        <v>444</v>
      </c>
      <c r="C62">
        <v>1072859</v>
      </c>
      <c r="F62" s="2" t="s">
        <v>244</v>
      </c>
      <c r="G62" s="3" t="s">
        <v>149</v>
      </c>
      <c r="H62" s="13">
        <f t="shared" si="9"/>
        <v>1366</v>
      </c>
      <c r="I62" s="10">
        <f t="shared" si="10"/>
        <v>6.829999658500017E-5</v>
      </c>
      <c r="J62" s="10">
        <f t="shared" si="11"/>
        <v>3.262187398385012E-5</v>
      </c>
      <c r="K62" s="10">
        <f t="shared" si="12"/>
        <v>6.5582327377568207E-5</v>
      </c>
      <c r="M62" s="12" t="s">
        <v>255</v>
      </c>
    </row>
    <row r="63" spans="1:14" x14ac:dyDescent="0.2">
      <c r="A63" t="s">
        <v>138</v>
      </c>
      <c r="B63" t="s">
        <v>445</v>
      </c>
      <c r="C63">
        <v>76958</v>
      </c>
      <c r="F63" s="2" t="s">
        <v>571</v>
      </c>
      <c r="G63" s="3" t="s">
        <v>512</v>
      </c>
      <c r="H63" s="13">
        <f t="shared" si="9"/>
        <v>0</v>
      </c>
      <c r="I63" s="10">
        <f t="shared" si="10"/>
        <v>0</v>
      </c>
      <c r="J63" s="10">
        <f t="shared" si="11"/>
        <v>0</v>
      </c>
      <c r="K63" s="10">
        <f t="shared" si="12"/>
        <v>0</v>
      </c>
      <c r="M63" s="12" t="s">
        <v>572</v>
      </c>
    </row>
    <row r="64" spans="1:14" x14ac:dyDescent="0.2">
      <c r="A64" t="s">
        <v>139</v>
      </c>
      <c r="B64" t="s">
        <v>446</v>
      </c>
      <c r="C64">
        <v>3633842</v>
      </c>
      <c r="F64" s="2" t="s">
        <v>243</v>
      </c>
      <c r="G64" s="3" t="s">
        <v>150</v>
      </c>
      <c r="H64" s="13">
        <f t="shared" si="9"/>
        <v>106297</v>
      </c>
      <c r="I64" s="10">
        <f t="shared" si="10"/>
        <v>5.3148497342575133E-3</v>
      </c>
      <c r="J64" s="10">
        <f t="shared" si="11"/>
        <v>2.53851196109906E-3</v>
      </c>
      <c r="K64" s="10">
        <f t="shared" si="12"/>
        <v>5.1033709028209138E-3</v>
      </c>
      <c r="M64" s="12" t="s">
        <v>256</v>
      </c>
      <c r="N64" s="44"/>
    </row>
    <row r="65" spans="1:14" x14ac:dyDescent="0.2">
      <c r="A65" t="s">
        <v>140</v>
      </c>
      <c r="B65" t="s">
        <v>447</v>
      </c>
      <c r="C65">
        <v>2503629</v>
      </c>
      <c r="F65" s="2" t="s">
        <v>245</v>
      </c>
      <c r="G65" s="3" t="s">
        <v>155</v>
      </c>
      <c r="H65" s="13">
        <f t="shared" si="9"/>
        <v>35870</v>
      </c>
      <c r="I65" s="10">
        <f t="shared" si="10"/>
        <v>1.7934999103250044E-3</v>
      </c>
      <c r="J65" s="10">
        <f t="shared" si="11"/>
        <v>8.5662270849246253E-4</v>
      </c>
      <c r="K65" s="10">
        <f t="shared" si="12"/>
        <v>1.7221362247682077E-3</v>
      </c>
      <c r="M65" s="12" t="s">
        <v>257</v>
      </c>
      <c r="N65" s="44"/>
    </row>
    <row r="66" spans="1:14" x14ac:dyDescent="0.2">
      <c r="A66" t="s">
        <v>141</v>
      </c>
      <c r="B66" t="s">
        <v>448</v>
      </c>
      <c r="C66">
        <v>0</v>
      </c>
      <c r="F66" s="2" t="s">
        <v>246</v>
      </c>
      <c r="G66" s="3" t="s">
        <v>156</v>
      </c>
      <c r="H66" s="13">
        <f t="shared" si="9"/>
        <v>464</v>
      </c>
      <c r="I66" s="10">
        <f t="shared" si="10"/>
        <v>2.3199998840000059E-5</v>
      </c>
      <c r="J66" s="10">
        <f t="shared" si="11"/>
        <v>1.1080929376651871E-5</v>
      </c>
      <c r="K66" s="10">
        <f t="shared" si="12"/>
        <v>2.2276866693405308E-5</v>
      </c>
      <c r="M66" s="12" t="s">
        <v>258</v>
      </c>
    </row>
    <row r="67" spans="1:14" x14ac:dyDescent="0.2">
      <c r="A67" t="s">
        <v>60</v>
      </c>
      <c r="B67" t="s">
        <v>449</v>
      </c>
      <c r="C67">
        <v>0</v>
      </c>
      <c r="F67" s="2" t="s">
        <v>247</v>
      </c>
      <c r="G67" s="3" t="s">
        <v>159</v>
      </c>
      <c r="H67" s="13">
        <f t="shared" si="9"/>
        <v>0</v>
      </c>
      <c r="I67" s="10">
        <f t="shared" si="10"/>
        <v>0</v>
      </c>
      <c r="J67" s="10">
        <f t="shared" si="11"/>
        <v>0</v>
      </c>
      <c r="K67" s="10">
        <f t="shared" si="12"/>
        <v>0</v>
      </c>
      <c r="M67" s="12" t="s">
        <v>259</v>
      </c>
    </row>
    <row r="68" spans="1:14" x14ac:dyDescent="0.2">
      <c r="A68" t="s">
        <v>61</v>
      </c>
      <c r="B68" t="s">
        <v>450</v>
      </c>
      <c r="C68">
        <v>385815</v>
      </c>
      <c r="F68" s="2" t="s">
        <v>248</v>
      </c>
      <c r="G68" s="3" t="s">
        <v>157</v>
      </c>
      <c r="H68" s="13">
        <f t="shared" si="9"/>
        <v>10758</v>
      </c>
      <c r="I68" s="10">
        <f t="shared" si="10"/>
        <v>5.378999731050013E-4</v>
      </c>
      <c r="J68" s="10">
        <f t="shared" si="11"/>
        <v>2.5691516860780348E-4</v>
      </c>
      <c r="K68" s="10">
        <f t="shared" si="12"/>
        <v>5.164968359647722E-4</v>
      </c>
      <c r="M68" s="12" t="s">
        <v>261</v>
      </c>
    </row>
    <row r="69" spans="1:14" x14ac:dyDescent="0.2">
      <c r="A69" t="s">
        <v>62</v>
      </c>
      <c r="B69" t="s">
        <v>451</v>
      </c>
      <c r="C69">
        <v>1071539</v>
      </c>
      <c r="F69" s="2" t="s">
        <v>249</v>
      </c>
      <c r="G69" s="3" t="s">
        <v>158</v>
      </c>
      <c r="H69" s="13">
        <f t="shared" si="9"/>
        <v>59324</v>
      </c>
      <c r="I69" s="10">
        <f t="shared" si="10"/>
        <v>2.9661998516900072E-3</v>
      </c>
      <c r="J69" s="10">
        <f t="shared" si="11"/>
        <v>1.4167350309062404E-3</v>
      </c>
      <c r="K69" s="10">
        <f t="shared" si="12"/>
        <v>2.8481742235335699E-3</v>
      </c>
      <c r="M69" s="12" t="s">
        <v>260</v>
      </c>
    </row>
    <row r="70" spans="1:14" x14ac:dyDescent="0.2">
      <c r="A70" t="s">
        <v>63</v>
      </c>
      <c r="B70" t="s">
        <v>452</v>
      </c>
      <c r="C70">
        <v>18920</v>
      </c>
      <c r="I70" s="10"/>
      <c r="J70" s="10"/>
      <c r="K70" s="10"/>
      <c r="L70" s="19"/>
    </row>
    <row r="71" spans="1:14" x14ac:dyDescent="0.2">
      <c r="A71" t="s">
        <v>64</v>
      </c>
      <c r="B71" t="s">
        <v>453</v>
      </c>
      <c r="C71">
        <v>470038</v>
      </c>
      <c r="F71" s="6" t="s">
        <v>236</v>
      </c>
      <c r="G71" s="14"/>
      <c r="H71" s="8"/>
      <c r="I71" s="34"/>
      <c r="J71" s="34"/>
      <c r="K71" s="34"/>
      <c r="L71" s="20"/>
      <c r="M71" s="23"/>
    </row>
    <row r="72" spans="1:14" x14ac:dyDescent="0.2">
      <c r="A72" t="s">
        <v>65</v>
      </c>
      <c r="B72" t="s">
        <v>454</v>
      </c>
      <c r="C72">
        <v>7487</v>
      </c>
      <c r="F72" s="2" t="s">
        <v>263</v>
      </c>
      <c r="G72" s="3" t="s">
        <v>56</v>
      </c>
      <c r="H72" s="13">
        <f>INDEX(C$2:C$1001, MATCH("*"&amp;G72&amp;"*",A$2:A$1001,0))</f>
        <v>88970</v>
      </c>
      <c r="I72" s="38">
        <f>H72/H$6</f>
        <v>4.4484997775750112E-3</v>
      </c>
      <c r="J72" s="38">
        <f>H72/H$32</f>
        <v>2.1247204453463727E-3</v>
      </c>
      <c r="K72" s="10">
        <f>H72/H$5</f>
        <v>4.2714931674833409E-3</v>
      </c>
      <c r="L72" s="19"/>
      <c r="M72" s="12" t="s">
        <v>95</v>
      </c>
    </row>
    <row r="73" spans="1:14" x14ac:dyDescent="0.2">
      <c r="A73" t="s">
        <v>455</v>
      </c>
      <c r="B73" t="s">
        <v>456</v>
      </c>
      <c r="C73">
        <v>0</v>
      </c>
      <c r="F73" s="2" t="s">
        <v>262</v>
      </c>
      <c r="G73" s="3" t="s">
        <v>57</v>
      </c>
      <c r="H73" s="13">
        <f>INDEX(C$2:C$1001, MATCH("*"&amp;G73&amp;"*",A$2:A$1001,0))</f>
        <v>152331</v>
      </c>
      <c r="I73" s="38">
        <f>H73/H$6</f>
        <v>7.616549619172519E-3</v>
      </c>
      <c r="J73" s="38">
        <f>H73/H$32</f>
        <v>3.6378643380921469E-3</v>
      </c>
      <c r="K73" s="10">
        <f>H73/H$5</f>
        <v>7.3134857333472499E-3</v>
      </c>
      <c r="L73" s="19"/>
      <c r="M73" s="12" t="s">
        <v>294</v>
      </c>
    </row>
    <row r="74" spans="1:14" x14ac:dyDescent="0.2">
      <c r="A74" t="s">
        <v>457</v>
      </c>
      <c r="B74" t="s">
        <v>458</v>
      </c>
      <c r="C74">
        <v>0</v>
      </c>
      <c r="F74" s="2" t="s">
        <v>264</v>
      </c>
      <c r="G74" s="3" t="s">
        <v>205</v>
      </c>
      <c r="H74" s="13">
        <f>INDEX(C$2:C$1001, MATCH("*"&amp;G74&amp;"*",A$2:A$1001,0))</f>
        <v>80605</v>
      </c>
      <c r="I74" s="38">
        <f>H74/H$6</f>
        <v>4.0302497984875101E-3</v>
      </c>
      <c r="J74" s="38">
        <f>H74/H$32</f>
        <v>1.9249532594935862E-3</v>
      </c>
      <c r="K74" s="10">
        <f>H74/H$5</f>
        <v>3.8698854306507217E-3</v>
      </c>
      <c r="L74" s="19"/>
      <c r="M74" s="12" t="s">
        <v>273</v>
      </c>
    </row>
    <row r="75" spans="1:14" x14ac:dyDescent="0.2">
      <c r="A75" t="s">
        <v>66</v>
      </c>
      <c r="B75" t="s">
        <v>459</v>
      </c>
      <c r="C75">
        <v>568815</v>
      </c>
      <c r="F75" s="2" t="s">
        <v>350</v>
      </c>
      <c r="H75" s="19">
        <f>H72/(H39+H41)</f>
        <v>1.8143272510444057E-2</v>
      </c>
      <c r="M75" s="12" t="s">
        <v>297</v>
      </c>
    </row>
    <row r="76" spans="1:14" x14ac:dyDescent="0.2">
      <c r="A76" t="s">
        <v>67</v>
      </c>
      <c r="B76" t="s">
        <v>460</v>
      </c>
      <c r="C76">
        <v>17259</v>
      </c>
      <c r="F76" s="2" t="s">
        <v>351</v>
      </c>
      <c r="H76" s="19">
        <f>H72/H39</f>
        <v>2.247694578298947E-2</v>
      </c>
      <c r="M76" s="12" t="s">
        <v>352</v>
      </c>
    </row>
    <row r="77" spans="1:14" x14ac:dyDescent="0.2">
      <c r="A77" t="s">
        <v>68</v>
      </c>
      <c r="B77" t="s">
        <v>461</v>
      </c>
      <c r="C77">
        <v>0</v>
      </c>
      <c r="F77" s="2" t="s">
        <v>295</v>
      </c>
      <c r="H77" s="38">
        <f>H73/INDEX(C$2:C$1001,MATCH("0x5a",A$2:A$1001,0))</f>
        <v>0.1188480560243234</v>
      </c>
      <c r="M77" s="12" t="s">
        <v>296</v>
      </c>
    </row>
    <row r="78" spans="1:14" x14ac:dyDescent="0.2">
      <c r="A78" t="s">
        <v>69</v>
      </c>
      <c r="B78" t="s">
        <v>462</v>
      </c>
      <c r="C78">
        <v>0</v>
      </c>
    </row>
    <row r="79" spans="1:14" x14ac:dyDescent="0.2">
      <c r="A79" t="s">
        <v>70</v>
      </c>
      <c r="B79" t="s">
        <v>463</v>
      </c>
      <c r="C79">
        <v>0</v>
      </c>
      <c r="F79" s="6" t="s">
        <v>237</v>
      </c>
      <c r="G79" s="14"/>
      <c r="H79" s="8"/>
      <c r="I79" s="34"/>
      <c r="J79" s="34"/>
      <c r="K79" s="34"/>
      <c r="L79" s="20"/>
      <c r="M79" s="23"/>
    </row>
    <row r="80" spans="1:14" x14ac:dyDescent="0.2">
      <c r="A80" t="s">
        <v>71</v>
      </c>
      <c r="B80" t="s">
        <v>464</v>
      </c>
      <c r="C80">
        <v>6238148</v>
      </c>
      <c r="F80" s="2" t="s">
        <v>250</v>
      </c>
      <c r="G80" s="3" t="s">
        <v>154</v>
      </c>
      <c r="H80" s="13">
        <f>INDEX(C$2:C$1001, MATCH("*"&amp;G80&amp;"*",A$2:A$1001,0))</f>
        <v>87375</v>
      </c>
      <c r="I80" s="38">
        <f>H80/H$6</f>
        <v>4.3687497815625108E-3</v>
      </c>
      <c r="J80" s="10">
        <f>H80/H$32</f>
        <v>2.086629750614132E-3</v>
      </c>
      <c r="K80" s="10">
        <f>H80/H$5</f>
        <v>4.1949164382247602E-3</v>
      </c>
      <c r="L80" s="19"/>
      <c r="M80" s="12" t="s">
        <v>265</v>
      </c>
    </row>
    <row r="81" spans="1:13" x14ac:dyDescent="0.2">
      <c r="A81" t="s">
        <v>72</v>
      </c>
      <c r="B81" t="s">
        <v>465</v>
      </c>
      <c r="C81">
        <v>3299963</v>
      </c>
      <c r="F81" s="2" t="s">
        <v>251</v>
      </c>
      <c r="G81" s="3" t="s">
        <v>138</v>
      </c>
      <c r="H81" s="13">
        <f>INDEX(C$2:C$1001, MATCH("*"&amp;G81&amp;"*",A$2:A$1001,0))</f>
        <v>76958</v>
      </c>
      <c r="I81" s="38">
        <f>H81/H$6</f>
        <v>3.8478998076050095E-3</v>
      </c>
      <c r="J81" s="10">
        <f>H81/H$32</f>
        <v>1.8378581098456349E-3</v>
      </c>
      <c r="K81" s="10">
        <f>H81/H$5</f>
        <v>3.6947911788600984E-3</v>
      </c>
      <c r="L81" s="19"/>
      <c r="M81" s="12" t="s">
        <v>266</v>
      </c>
    </row>
    <row r="82" spans="1:13" x14ac:dyDescent="0.2">
      <c r="A82" t="s">
        <v>73</v>
      </c>
      <c r="B82" t="s">
        <v>466</v>
      </c>
      <c r="C82">
        <v>531640</v>
      </c>
      <c r="F82" s="2" t="s">
        <v>252</v>
      </c>
      <c r="G82" s="3" t="s">
        <v>115</v>
      </c>
      <c r="H82" s="13">
        <f>INDEX(C$2:C$1001, MATCH("*"&amp;G82&amp;"*",A$2:A$1001,0))</f>
        <v>0</v>
      </c>
      <c r="I82" s="38">
        <f>H82/H$6</f>
        <v>0</v>
      </c>
      <c r="J82" s="10">
        <f>H82/H$32</f>
        <v>0</v>
      </c>
      <c r="K82" s="10">
        <f>H82/H$5</f>
        <v>0</v>
      </c>
      <c r="L82" s="19"/>
      <c r="M82" s="12" t="s">
        <v>267</v>
      </c>
    </row>
    <row r="83" spans="1:13" x14ac:dyDescent="0.2">
      <c r="A83" t="s">
        <v>74</v>
      </c>
      <c r="B83" t="s">
        <v>467</v>
      </c>
      <c r="C83">
        <v>0</v>
      </c>
    </row>
    <row r="84" spans="1:13" x14ac:dyDescent="0.2">
      <c r="A84" t="s">
        <v>75</v>
      </c>
      <c r="B84" t="s">
        <v>468</v>
      </c>
      <c r="C84">
        <v>0</v>
      </c>
      <c r="F84" s="6" t="s">
        <v>332</v>
      </c>
      <c r="G84" s="14"/>
      <c r="H84" s="8"/>
      <c r="I84" s="34"/>
      <c r="J84" s="34"/>
      <c r="K84" s="34"/>
      <c r="L84" s="20"/>
      <c r="M84" s="23"/>
    </row>
    <row r="85" spans="1:13" x14ac:dyDescent="0.2">
      <c r="A85" t="s">
        <v>469</v>
      </c>
      <c r="B85" t="s">
        <v>470</v>
      </c>
      <c r="C85">
        <v>0</v>
      </c>
      <c r="F85" s="2" t="s">
        <v>113</v>
      </c>
      <c r="G85" s="3" t="s">
        <v>160</v>
      </c>
      <c r="H85" s="13">
        <f t="shared" ref="H85:H90" si="13">INDEX(C$2:C$1001, MATCH("*"&amp;G85&amp;"*",A$2:A$1001,0))</f>
        <v>44856</v>
      </c>
      <c r="I85" s="38">
        <f t="shared" ref="I85:I107" si="14">H85/H$6</f>
        <v>2.2427998878600057E-3</v>
      </c>
      <c r="J85" s="38">
        <f t="shared" ref="J85:J107" si="15">H85/H$32</f>
        <v>1.0712201899118455E-3</v>
      </c>
      <c r="K85" s="10">
        <f t="shared" ref="K85:K107" si="16">H85/H$5</f>
        <v>2.1535584749986822E-3</v>
      </c>
      <c r="L85" s="19"/>
      <c r="M85" s="12" t="s">
        <v>336</v>
      </c>
    </row>
    <row r="86" spans="1:13" x14ac:dyDescent="0.2">
      <c r="A86" t="s">
        <v>76</v>
      </c>
      <c r="B86" t="s">
        <v>471</v>
      </c>
      <c r="C86">
        <v>398957</v>
      </c>
      <c r="F86" s="2" t="s">
        <v>353</v>
      </c>
      <c r="G86" s="3" t="s">
        <v>162</v>
      </c>
      <c r="H86" s="13">
        <f t="shared" si="13"/>
        <v>247541</v>
      </c>
      <c r="I86" s="38">
        <f t="shared" si="14"/>
        <v>1.2377049381147531E-2</v>
      </c>
      <c r="J86" s="38">
        <f t="shared" si="15"/>
        <v>5.9116041785038376E-3</v>
      </c>
      <c r="K86" s="10">
        <f t="shared" si="16"/>
        <v>1.1884564349466041E-2</v>
      </c>
      <c r="L86" s="19"/>
      <c r="M86" s="12" t="s">
        <v>354</v>
      </c>
    </row>
    <row r="87" spans="1:13" x14ac:dyDescent="0.2">
      <c r="A87" t="s">
        <v>77</v>
      </c>
      <c r="B87" t="s">
        <v>472</v>
      </c>
      <c r="C87">
        <v>43412</v>
      </c>
      <c r="F87" s="47" t="s">
        <v>356</v>
      </c>
      <c r="G87" s="3" t="s">
        <v>31</v>
      </c>
      <c r="H87" s="13">
        <f t="shared" si="13"/>
        <v>2339348</v>
      </c>
      <c r="I87" s="38">
        <f t="shared" si="14"/>
        <v>0.11696739415163029</v>
      </c>
      <c r="J87" s="38">
        <f t="shared" si="15"/>
        <v>5.5866702533215087E-2</v>
      </c>
      <c r="K87" s="10">
        <f t="shared" si="16"/>
        <v>0.11231324039975069</v>
      </c>
      <c r="L87" s="19"/>
      <c r="M87" s="12" t="s">
        <v>357</v>
      </c>
    </row>
    <row r="88" spans="1:13" x14ac:dyDescent="0.2">
      <c r="A88" t="s">
        <v>78</v>
      </c>
      <c r="B88" t="s">
        <v>473</v>
      </c>
      <c r="C88">
        <v>1432478</v>
      </c>
      <c r="F88" s="47" t="s">
        <v>568</v>
      </c>
      <c r="G88" s="3" t="s">
        <v>439</v>
      </c>
      <c r="H88" s="13">
        <f t="shared" si="13"/>
        <v>908189</v>
      </c>
      <c r="I88" s="38">
        <f t="shared" si="14"/>
        <v>4.5409447729527611E-2</v>
      </c>
      <c r="J88" s="38">
        <f t="shared" si="15"/>
        <v>2.1688746055284668E-2</v>
      </c>
      <c r="K88" s="10">
        <f t="shared" si="16"/>
        <v>4.3602597597881626E-2</v>
      </c>
      <c r="L88" s="19"/>
      <c r="M88" s="12" t="s">
        <v>569</v>
      </c>
    </row>
    <row r="89" spans="1:13" x14ac:dyDescent="0.2">
      <c r="A89" t="s">
        <v>142</v>
      </c>
      <c r="B89" t="s">
        <v>474</v>
      </c>
      <c r="C89">
        <v>22622</v>
      </c>
      <c r="F89" s="2" t="s">
        <v>328</v>
      </c>
      <c r="G89" s="3" t="s">
        <v>137</v>
      </c>
      <c r="H89" s="13">
        <f t="shared" si="13"/>
        <v>1072859</v>
      </c>
      <c r="I89" s="38">
        <f t="shared" si="14"/>
        <v>5.3642947317852636E-2</v>
      </c>
      <c r="J89" s="38">
        <f t="shared" si="15"/>
        <v>2.5621281918330494E-2</v>
      </c>
      <c r="K89" s="10">
        <f t="shared" si="16"/>
        <v>5.1508484749612338E-2</v>
      </c>
      <c r="L89" s="19"/>
      <c r="M89" s="12" t="s">
        <v>329</v>
      </c>
    </row>
    <row r="90" spans="1:13" x14ac:dyDescent="0.2">
      <c r="A90" t="s">
        <v>143</v>
      </c>
      <c r="B90" t="s">
        <v>475</v>
      </c>
      <c r="C90">
        <v>3676728</v>
      </c>
      <c r="F90" s="47" t="s">
        <v>355</v>
      </c>
      <c r="G90" s="3" t="s">
        <v>32</v>
      </c>
      <c r="H90" s="13">
        <f t="shared" si="13"/>
        <v>656092</v>
      </c>
      <c r="I90" s="38">
        <f t="shared" si="14"/>
        <v>3.2804598359770079E-2</v>
      </c>
      <c r="J90" s="38">
        <f t="shared" si="15"/>
        <v>1.5668338613332496E-2</v>
      </c>
      <c r="K90" s="10">
        <f t="shared" si="16"/>
        <v>3.149929746252085E-2</v>
      </c>
      <c r="L90" s="19"/>
      <c r="M90" s="12" t="s">
        <v>358</v>
      </c>
    </row>
    <row r="91" spans="1:13" x14ac:dyDescent="0.2">
      <c r="A91" t="s">
        <v>144</v>
      </c>
      <c r="B91" t="s">
        <v>476</v>
      </c>
      <c r="C91">
        <v>20397</v>
      </c>
      <c r="F91" s="2" t="s">
        <v>331</v>
      </c>
      <c r="G91" s="3" t="s">
        <v>32</v>
      </c>
      <c r="H91" s="13">
        <f>H90-H92</f>
        <v>642990</v>
      </c>
      <c r="I91" s="38">
        <f t="shared" si="14"/>
        <v>3.214949839252508E-2</v>
      </c>
      <c r="J91" s="38">
        <f t="shared" si="15"/>
        <v>1.5355445646321953E-2</v>
      </c>
      <c r="K91" s="10">
        <f t="shared" si="16"/>
        <v>3.0870264041363532E-2</v>
      </c>
      <c r="L91" s="19"/>
      <c r="M91" s="12" t="s">
        <v>359</v>
      </c>
    </row>
    <row r="92" spans="1:13" x14ac:dyDescent="0.2">
      <c r="A92" t="s">
        <v>79</v>
      </c>
      <c r="B92" t="s">
        <v>477</v>
      </c>
      <c r="C92">
        <v>0</v>
      </c>
      <c r="F92" s="2" t="s">
        <v>6</v>
      </c>
      <c r="G92" s="3" t="s">
        <v>85</v>
      </c>
      <c r="H92" s="13">
        <f>INDEX(C$2:C$1001, MATCH("*"&amp;G92&amp;"*",A$2:A$1001,0))</f>
        <v>13102</v>
      </c>
      <c r="I92" s="38">
        <f t="shared" si="14"/>
        <v>6.5509996724500167E-4</v>
      </c>
      <c r="J92" s="38">
        <f t="shared" si="15"/>
        <v>3.1289296701054483E-4</v>
      </c>
      <c r="K92" s="10">
        <f t="shared" si="16"/>
        <v>6.2903342115731972E-4</v>
      </c>
      <c r="L92" s="19"/>
      <c r="M92" s="12" t="s">
        <v>360</v>
      </c>
    </row>
    <row r="93" spans="1:13" x14ac:dyDescent="0.2">
      <c r="A93" t="s">
        <v>80</v>
      </c>
      <c r="B93" t="s">
        <v>478</v>
      </c>
      <c r="C93">
        <v>0</v>
      </c>
      <c r="F93" s="2" t="s">
        <v>330</v>
      </c>
      <c r="G93" s="3" t="s">
        <v>79</v>
      </c>
      <c r="H93" s="13">
        <f>INDEX(C$2:C$1001, MATCH("*"&amp;G93&amp;"*",A$2:A$1001,0))</f>
        <v>0</v>
      </c>
      <c r="I93" s="38">
        <f t="shared" si="14"/>
        <v>0</v>
      </c>
      <c r="J93" s="38">
        <f t="shared" si="15"/>
        <v>0</v>
      </c>
      <c r="K93" s="10">
        <f t="shared" si="16"/>
        <v>0</v>
      </c>
      <c r="L93" s="19"/>
      <c r="M93" s="12" t="s">
        <v>101</v>
      </c>
    </row>
    <row r="94" spans="1:13" x14ac:dyDescent="0.2">
      <c r="A94" t="s">
        <v>145</v>
      </c>
      <c r="B94" t="s">
        <v>479</v>
      </c>
      <c r="C94">
        <v>0</v>
      </c>
      <c r="F94" s="2" t="s">
        <v>333</v>
      </c>
      <c r="G94" s="3" t="s">
        <v>86</v>
      </c>
      <c r="H94" s="13">
        <f>INDEX(C$2:C$1001, MATCH("*"&amp;G94&amp;"*",A$2:A$1001,0))</f>
        <v>0</v>
      </c>
      <c r="I94" s="38">
        <f t="shared" si="14"/>
        <v>0</v>
      </c>
      <c r="J94" s="38">
        <f t="shared" si="15"/>
        <v>0</v>
      </c>
      <c r="K94" s="10">
        <f t="shared" si="16"/>
        <v>0</v>
      </c>
      <c r="L94" s="19"/>
      <c r="M94" s="12" t="s">
        <v>98</v>
      </c>
    </row>
    <row r="95" spans="1:13" x14ac:dyDescent="0.2">
      <c r="A95" t="s">
        <v>81</v>
      </c>
      <c r="B95" t="s">
        <v>480</v>
      </c>
      <c r="C95">
        <v>34543</v>
      </c>
      <c r="F95" s="2" t="s">
        <v>334</v>
      </c>
      <c r="G95" s="3" t="s">
        <v>87</v>
      </c>
      <c r="H95" s="13">
        <f>INDEX(C$2:C$1001, MATCH("*"&amp;G95&amp;"*",A$2:A$1001,0))</f>
        <v>0</v>
      </c>
      <c r="I95" s="38">
        <f t="shared" si="14"/>
        <v>0</v>
      </c>
      <c r="J95" s="38">
        <f t="shared" si="15"/>
        <v>0</v>
      </c>
      <c r="K95" s="10">
        <f t="shared" si="16"/>
        <v>0</v>
      </c>
      <c r="L95" s="19"/>
      <c r="M95" s="12" t="s">
        <v>99</v>
      </c>
    </row>
    <row r="96" spans="1:13" x14ac:dyDescent="0.2">
      <c r="A96" t="s">
        <v>82</v>
      </c>
      <c r="B96" t="s">
        <v>481</v>
      </c>
      <c r="C96">
        <v>0</v>
      </c>
      <c r="F96" s="2" t="s">
        <v>335</v>
      </c>
      <c r="H96" s="13">
        <f>H94-H95</f>
        <v>0</v>
      </c>
      <c r="I96" s="38">
        <f t="shared" si="14"/>
        <v>0</v>
      </c>
      <c r="J96" s="38">
        <f t="shared" si="15"/>
        <v>0</v>
      </c>
      <c r="K96" s="10">
        <f t="shared" si="16"/>
        <v>0</v>
      </c>
      <c r="L96" s="19"/>
      <c r="M96" s="12" t="s">
        <v>100</v>
      </c>
    </row>
    <row r="97" spans="1:13" x14ac:dyDescent="0.2">
      <c r="A97" t="s">
        <v>83</v>
      </c>
      <c r="B97" t="s">
        <v>482</v>
      </c>
      <c r="C97">
        <v>0</v>
      </c>
      <c r="F97" s="2" t="s">
        <v>109</v>
      </c>
      <c r="G97" s="3" t="s">
        <v>78</v>
      </c>
      <c r="H97" s="13">
        <f t="shared" ref="H97:H102" si="17">INDEX(C$2:C$1001, MATCH("*"&amp;G97&amp;"*",A$2:A$1001,0))</f>
        <v>1432478</v>
      </c>
      <c r="I97" s="38">
        <f t="shared" si="14"/>
        <v>7.1623896418805177E-2</v>
      </c>
      <c r="J97" s="38">
        <f t="shared" si="15"/>
        <v>3.4209455930188613E-2</v>
      </c>
      <c r="K97" s="10">
        <f t="shared" si="16"/>
        <v>6.8773968636284155E-2</v>
      </c>
      <c r="M97" s="12" t="s">
        <v>111</v>
      </c>
    </row>
    <row r="98" spans="1:13" x14ac:dyDescent="0.2">
      <c r="A98" t="s">
        <v>84</v>
      </c>
      <c r="B98" t="s">
        <v>483</v>
      </c>
      <c r="C98">
        <v>0</v>
      </c>
      <c r="F98" s="2" t="s">
        <v>110</v>
      </c>
      <c r="G98" s="3" t="s">
        <v>76</v>
      </c>
      <c r="H98" s="13">
        <f t="shared" si="17"/>
        <v>398957</v>
      </c>
      <c r="I98" s="38">
        <f t="shared" si="14"/>
        <v>1.994784900260755E-2</v>
      </c>
      <c r="J98" s="38">
        <f t="shared" si="15"/>
        <v>9.5276171149157336E-3</v>
      </c>
      <c r="K98" s="10">
        <f t="shared" si="16"/>
        <v>1.9154120485777804E-2</v>
      </c>
      <c r="M98" s="12" t="s">
        <v>112</v>
      </c>
    </row>
    <row r="99" spans="1:13" x14ac:dyDescent="0.2">
      <c r="A99" t="s">
        <v>484</v>
      </c>
      <c r="B99" t="s">
        <v>485</v>
      </c>
      <c r="C99">
        <v>0</v>
      </c>
      <c r="F99" s="2" t="s">
        <v>345</v>
      </c>
      <c r="G99" s="3" t="s">
        <v>67</v>
      </c>
      <c r="H99" s="13">
        <f t="shared" si="17"/>
        <v>17259</v>
      </c>
      <c r="I99" s="38">
        <f t="shared" si="14"/>
        <v>8.6294995685250219E-4</v>
      </c>
      <c r="J99" s="38">
        <f t="shared" si="15"/>
        <v>4.1216758644748846E-4</v>
      </c>
      <c r="K99" s="10">
        <f t="shared" si="16"/>
        <v>8.2861302211526336E-4</v>
      </c>
      <c r="M99" s="12" t="s">
        <v>342</v>
      </c>
    </row>
    <row r="100" spans="1:13" x14ac:dyDescent="0.2">
      <c r="A100" t="s">
        <v>146</v>
      </c>
      <c r="B100" t="s">
        <v>486</v>
      </c>
      <c r="C100">
        <v>775221</v>
      </c>
      <c r="F100" s="47" t="s">
        <v>344</v>
      </c>
      <c r="G100" s="3" t="s">
        <v>63</v>
      </c>
      <c r="H100" s="13">
        <f t="shared" si="17"/>
        <v>18920</v>
      </c>
      <c r="I100" s="38">
        <f t="shared" si="14"/>
        <v>9.4599995270000232E-4</v>
      </c>
      <c r="J100" s="38">
        <f t="shared" si="15"/>
        <v>4.5183444785830472E-4</v>
      </c>
      <c r="K100" s="10">
        <f t="shared" si="16"/>
        <v>9.0835844361902677E-4</v>
      </c>
      <c r="L100" s="19"/>
      <c r="M100" s="12" t="s">
        <v>322</v>
      </c>
    </row>
    <row r="101" spans="1:13" x14ac:dyDescent="0.2">
      <c r="A101" t="s">
        <v>147</v>
      </c>
      <c r="B101" t="s">
        <v>487</v>
      </c>
      <c r="C101">
        <v>67047</v>
      </c>
      <c r="F101" s="2" t="s">
        <v>321</v>
      </c>
      <c r="G101" s="3" t="s">
        <v>80</v>
      </c>
      <c r="H101" s="13">
        <f t="shared" si="17"/>
        <v>0</v>
      </c>
      <c r="I101" s="38">
        <f t="shared" si="14"/>
        <v>0</v>
      </c>
      <c r="J101" s="38">
        <f t="shared" si="15"/>
        <v>0</v>
      </c>
      <c r="K101" s="10">
        <f t="shared" si="16"/>
        <v>0</v>
      </c>
      <c r="L101" s="19"/>
      <c r="M101" s="12" t="s">
        <v>343</v>
      </c>
    </row>
    <row r="102" spans="1:13" x14ac:dyDescent="0.2">
      <c r="A102" t="s">
        <v>488</v>
      </c>
      <c r="B102" t="s">
        <v>489</v>
      </c>
      <c r="C102">
        <v>0</v>
      </c>
      <c r="F102" s="2" t="s">
        <v>340</v>
      </c>
      <c r="G102" s="48" t="s">
        <v>65</v>
      </c>
      <c r="H102" s="13">
        <f t="shared" si="17"/>
        <v>7487</v>
      </c>
      <c r="I102" s="38">
        <f t="shared" si="14"/>
        <v>3.7434998128250095E-4</v>
      </c>
      <c r="J102" s="38">
        <f t="shared" si="15"/>
        <v>1.7879939276507016E-4</v>
      </c>
      <c r="K102" s="10">
        <f t="shared" si="16"/>
        <v>3.5945452787397748E-4</v>
      </c>
      <c r="L102" s="19"/>
      <c r="M102" s="12" t="s">
        <v>341</v>
      </c>
    </row>
    <row r="103" spans="1:13" x14ac:dyDescent="0.2">
      <c r="A103" t="s">
        <v>148</v>
      </c>
      <c r="B103" t="s">
        <v>490</v>
      </c>
      <c r="C103">
        <v>167550</v>
      </c>
      <c r="F103" s="2" t="s">
        <v>346</v>
      </c>
      <c r="H103" s="13">
        <f>H99-H101</f>
        <v>17259</v>
      </c>
      <c r="I103" s="38">
        <f t="shared" si="14"/>
        <v>8.6294995685250219E-4</v>
      </c>
      <c r="J103" s="38">
        <f t="shared" si="15"/>
        <v>4.1216758644748846E-4</v>
      </c>
      <c r="K103" s="10">
        <f t="shared" si="16"/>
        <v>8.2861302211526336E-4</v>
      </c>
      <c r="M103" s="12" t="s">
        <v>347</v>
      </c>
    </row>
    <row r="104" spans="1:13" x14ac:dyDescent="0.2">
      <c r="A104" t="s">
        <v>149</v>
      </c>
      <c r="B104" t="s">
        <v>491</v>
      </c>
      <c r="C104">
        <v>1366</v>
      </c>
      <c r="F104" s="2" t="s">
        <v>348</v>
      </c>
      <c r="H104" s="13">
        <f>H100-H102</f>
        <v>11433</v>
      </c>
      <c r="I104" s="38">
        <f t="shared" si="14"/>
        <v>5.7164997141750148E-4</v>
      </c>
      <c r="J104" s="38">
        <f t="shared" si="15"/>
        <v>2.7303505509323458E-4</v>
      </c>
      <c r="K104" s="10">
        <f t="shared" si="16"/>
        <v>5.4890391574504934E-4</v>
      </c>
      <c r="M104" s="12" t="s">
        <v>349</v>
      </c>
    </row>
    <row r="105" spans="1:13" x14ac:dyDescent="0.2">
      <c r="A105" t="s">
        <v>492</v>
      </c>
      <c r="B105" t="s">
        <v>493</v>
      </c>
      <c r="C105">
        <v>1620000</v>
      </c>
      <c r="F105" s="2" t="s">
        <v>338</v>
      </c>
      <c r="G105" s="48" t="s">
        <v>144</v>
      </c>
      <c r="H105" s="13">
        <f>INDEX(C$2:C$1001, MATCH("*"&amp;G105&amp;"*",A$2:A$1001,0))</f>
        <v>20397</v>
      </c>
      <c r="I105" s="38">
        <f t="shared" si="14"/>
        <v>1.0198499490075025E-3</v>
      </c>
      <c r="J105" s="38">
        <f t="shared" si="15"/>
        <v>4.8710714761975905E-4</v>
      </c>
      <c r="K105" s="10">
        <f t="shared" si="16"/>
        <v>9.7926993522712952E-4</v>
      </c>
      <c r="L105" s="19"/>
      <c r="M105" s="12" t="s">
        <v>327</v>
      </c>
    </row>
    <row r="106" spans="1:13" x14ac:dyDescent="0.2">
      <c r="A106" t="s">
        <v>494</v>
      </c>
      <c r="B106" t="s">
        <v>495</v>
      </c>
      <c r="C106">
        <v>0</v>
      </c>
      <c r="F106" s="2" t="s">
        <v>323</v>
      </c>
      <c r="G106" s="3" t="s">
        <v>69</v>
      </c>
      <c r="H106" s="13">
        <f>INDEX(C$2:C$1001, MATCH("*"&amp;G106&amp;"*",A$2:A$1001,0))</f>
        <v>0</v>
      </c>
      <c r="I106" s="38">
        <f t="shared" si="14"/>
        <v>0</v>
      </c>
      <c r="J106" s="10">
        <f t="shared" si="15"/>
        <v>0</v>
      </c>
      <c r="K106" s="10">
        <f t="shared" si="16"/>
        <v>0</v>
      </c>
      <c r="L106" s="19"/>
      <c r="M106" s="12" t="s">
        <v>324</v>
      </c>
    </row>
    <row r="107" spans="1:13" x14ac:dyDescent="0.2">
      <c r="A107" t="s">
        <v>496</v>
      </c>
      <c r="B107" t="s">
        <v>497</v>
      </c>
      <c r="C107">
        <v>0</v>
      </c>
      <c r="F107" s="2" t="s">
        <v>325</v>
      </c>
      <c r="H107" s="13">
        <f>MAX(H113-H105,0)</f>
        <v>178805</v>
      </c>
      <c r="I107" s="38">
        <f t="shared" si="14"/>
        <v>8.9402495529875229E-3</v>
      </c>
      <c r="J107" s="10">
        <f t="shared" si="15"/>
        <v>4.2700982267074089E-3</v>
      </c>
      <c r="K107" s="10">
        <f t="shared" si="16"/>
        <v>8.5845154075739998E-3</v>
      </c>
      <c r="M107" s="12" t="s">
        <v>326</v>
      </c>
    </row>
    <row r="108" spans="1:13" x14ac:dyDescent="0.2">
      <c r="A108" t="s">
        <v>150</v>
      </c>
      <c r="B108" t="s">
        <v>498</v>
      </c>
      <c r="C108">
        <v>106297</v>
      </c>
    </row>
    <row r="109" spans="1:13" x14ac:dyDescent="0.2">
      <c r="A109" t="s">
        <v>499</v>
      </c>
      <c r="B109" t="s">
        <v>500</v>
      </c>
      <c r="C109">
        <v>0</v>
      </c>
      <c r="F109" s="6" t="s">
        <v>361</v>
      </c>
      <c r="G109" s="7"/>
      <c r="H109" s="8"/>
      <c r="I109" s="34"/>
      <c r="J109" s="34"/>
      <c r="K109" s="34"/>
      <c r="L109" s="20"/>
      <c r="M109" s="23"/>
    </row>
    <row r="110" spans="1:13" x14ac:dyDescent="0.2">
      <c r="A110" t="s">
        <v>151</v>
      </c>
      <c r="B110" t="s">
        <v>501</v>
      </c>
      <c r="C110">
        <v>574832</v>
      </c>
      <c r="F110" s="2" t="s">
        <v>7</v>
      </c>
      <c r="G110" s="3" t="s">
        <v>48</v>
      </c>
      <c r="H110" s="46">
        <f t="shared" ref="H110:H115" si="18">INDEX(C$2:C$1001, MATCH("*"&amp;G110&amp;"*",A$2:A$1001,0))</f>
        <v>53989</v>
      </c>
      <c r="I110" s="10">
        <f t="shared" ref="I110:I121" si="19">H110/H$6</f>
        <v>2.6994498650275067E-3</v>
      </c>
      <c r="J110" s="10">
        <f t="shared" ref="J110:J121" si="20">H110/H$32</f>
        <v>1.2893282243880556E-3</v>
      </c>
      <c r="K110" s="10">
        <f t="shared" ref="K110:K121" si="21">H110/H$5</f>
        <v>2.5920382670479723E-3</v>
      </c>
      <c r="L110" s="19"/>
      <c r="M110" s="22" t="s">
        <v>96</v>
      </c>
    </row>
    <row r="111" spans="1:13" x14ac:dyDescent="0.2">
      <c r="A111" t="s">
        <v>152</v>
      </c>
      <c r="B111" t="s">
        <v>502</v>
      </c>
      <c r="C111">
        <v>4188745</v>
      </c>
      <c r="F111" s="2" t="s">
        <v>194</v>
      </c>
      <c r="G111" s="3" t="s">
        <v>49</v>
      </c>
      <c r="H111" s="13">
        <f t="shared" si="18"/>
        <v>260</v>
      </c>
      <c r="I111" s="10">
        <f t="shared" si="19"/>
        <v>1.2999999350000033E-5</v>
      </c>
      <c r="J111" s="10">
        <f t="shared" si="20"/>
        <v>6.2091414610549275E-6</v>
      </c>
      <c r="K111" s="10">
        <f t="shared" si="21"/>
        <v>1.2482727026477112E-5</v>
      </c>
      <c r="L111" s="19"/>
      <c r="M111" s="12" t="s">
        <v>192</v>
      </c>
    </row>
    <row r="112" spans="1:13" x14ac:dyDescent="0.2">
      <c r="A112" t="s">
        <v>153</v>
      </c>
      <c r="B112" t="s">
        <v>503</v>
      </c>
      <c r="C112">
        <v>158745</v>
      </c>
      <c r="F112" s="2" t="s">
        <v>195</v>
      </c>
      <c r="G112" s="3" t="s">
        <v>164</v>
      </c>
      <c r="H112" s="13">
        <f t="shared" si="18"/>
        <v>47938</v>
      </c>
      <c r="I112" s="10">
        <f t="shared" si="19"/>
        <v>2.3968998801550058E-3</v>
      </c>
      <c r="J112" s="10">
        <f t="shared" si="20"/>
        <v>1.144822397538658E-3</v>
      </c>
      <c r="K112" s="10">
        <f t="shared" si="21"/>
        <v>2.3015268007509993E-3</v>
      </c>
      <c r="L112" s="19"/>
      <c r="M112" s="12" t="s">
        <v>193</v>
      </c>
    </row>
    <row r="113" spans="1:13" x14ac:dyDescent="0.2">
      <c r="A113" t="s">
        <v>154</v>
      </c>
      <c r="B113" t="s">
        <v>504</v>
      </c>
      <c r="C113">
        <v>87375</v>
      </c>
      <c r="F113" s="2" t="s">
        <v>9</v>
      </c>
      <c r="G113" s="3" t="s">
        <v>200</v>
      </c>
      <c r="H113" s="13">
        <f t="shared" si="18"/>
        <v>199202</v>
      </c>
      <c r="I113" s="10">
        <f t="shared" si="19"/>
        <v>9.9600995019950254E-3</v>
      </c>
      <c r="J113" s="10">
        <f t="shared" si="20"/>
        <v>4.7572053743271678E-3</v>
      </c>
      <c r="K113" s="10">
        <f t="shared" si="21"/>
        <v>9.5637853428011295E-3</v>
      </c>
      <c r="L113" s="19"/>
      <c r="M113" s="12" t="s">
        <v>97</v>
      </c>
    </row>
    <row r="114" spans="1:13" x14ac:dyDescent="0.2">
      <c r="A114" t="s">
        <v>505</v>
      </c>
      <c r="B114" t="s">
        <v>506</v>
      </c>
      <c r="C114">
        <v>921345</v>
      </c>
      <c r="F114" s="2" t="s">
        <v>196</v>
      </c>
      <c r="G114" s="3" t="s">
        <v>204</v>
      </c>
      <c r="H114" s="13">
        <f t="shared" si="18"/>
        <v>0</v>
      </c>
      <c r="I114" s="10">
        <f t="shared" si="19"/>
        <v>0</v>
      </c>
      <c r="J114" s="10">
        <f t="shared" si="20"/>
        <v>0</v>
      </c>
      <c r="K114" s="10">
        <f t="shared" si="21"/>
        <v>0</v>
      </c>
      <c r="L114" s="19"/>
      <c r="M114" s="12" t="s">
        <v>197</v>
      </c>
    </row>
    <row r="115" spans="1:13" x14ac:dyDescent="0.2">
      <c r="A115" t="s">
        <v>155</v>
      </c>
      <c r="B115" t="s">
        <v>507</v>
      </c>
      <c r="C115">
        <v>35870</v>
      </c>
      <c r="F115" s="2" t="s">
        <v>199</v>
      </c>
      <c r="G115" s="3" t="s">
        <v>165</v>
      </c>
      <c r="H115" s="13">
        <f t="shared" si="18"/>
        <v>42730</v>
      </c>
      <c r="I115" s="10">
        <f t="shared" si="19"/>
        <v>2.1364998931750053E-3</v>
      </c>
      <c r="J115" s="10">
        <f t="shared" si="20"/>
        <v>1.0204485178110655E-3</v>
      </c>
      <c r="K115" s="10">
        <f t="shared" si="21"/>
        <v>2.0514881763129501E-3</v>
      </c>
      <c r="L115" s="19"/>
      <c r="M115" s="12" t="s">
        <v>198</v>
      </c>
    </row>
    <row r="116" spans="1:13" x14ac:dyDescent="0.2">
      <c r="A116" t="s">
        <v>156</v>
      </c>
      <c r="B116" t="s">
        <v>508</v>
      </c>
      <c r="C116">
        <v>464</v>
      </c>
      <c r="F116" s="2" t="s">
        <v>10</v>
      </c>
      <c r="H116" s="13">
        <f>H114*32+H115*64+(H113-H114-H115)*8</f>
        <v>3986496</v>
      </c>
      <c r="I116" s="45">
        <f t="shared" si="19"/>
        <v>0.1993247900337605</v>
      </c>
      <c r="J116" s="45">
        <f t="shared" si="20"/>
        <v>9.520275999203702E-2</v>
      </c>
      <c r="K116" s="45">
        <f t="shared" si="21"/>
        <v>0.19139362061593423</v>
      </c>
      <c r="L116" s="19"/>
      <c r="M116" s="12" t="s">
        <v>108</v>
      </c>
    </row>
    <row r="117" spans="1:13" x14ac:dyDescent="0.2">
      <c r="A117" t="s">
        <v>157</v>
      </c>
      <c r="B117" t="s">
        <v>509</v>
      </c>
      <c r="C117">
        <v>10758</v>
      </c>
      <c r="F117" s="2" t="s">
        <v>8</v>
      </c>
      <c r="H117" s="13">
        <f>H111*32+H112*64+(H110-H111-H112)*8</f>
        <v>3122680</v>
      </c>
      <c r="I117" s="45">
        <f t="shared" si="19"/>
        <v>0.1561339921933004</v>
      </c>
      <c r="J117" s="45">
        <f t="shared" si="20"/>
        <v>7.4573699452334621E-2</v>
      </c>
      <c r="K117" s="45">
        <f t="shared" si="21"/>
        <v>0.1499213924270752</v>
      </c>
      <c r="L117" s="19"/>
      <c r="M117" s="12" t="s">
        <v>107</v>
      </c>
    </row>
    <row r="118" spans="1:13" x14ac:dyDescent="0.2">
      <c r="A118" t="s">
        <v>158</v>
      </c>
      <c r="B118" t="s">
        <v>510</v>
      </c>
      <c r="C118">
        <v>59324</v>
      </c>
      <c r="F118" s="2" t="s">
        <v>366</v>
      </c>
      <c r="G118" s="3" t="s">
        <v>51</v>
      </c>
      <c r="H118" s="46">
        <f>INDEX(C$2:C$1001, MATCH("*"&amp;G118&amp;"*",A$2:A$1001,0))</f>
        <v>4656</v>
      </c>
      <c r="I118" s="10">
        <f t="shared" si="19"/>
        <v>2.3279998836000059E-4</v>
      </c>
      <c r="J118" s="10">
        <f t="shared" si="20"/>
        <v>1.1119139477950671E-4</v>
      </c>
      <c r="K118" s="10">
        <f t="shared" si="21"/>
        <v>2.2353683475106705E-4</v>
      </c>
      <c r="L118" s="19"/>
      <c r="M118" s="22" t="s">
        <v>368</v>
      </c>
    </row>
    <row r="119" spans="1:13" x14ac:dyDescent="0.2">
      <c r="A119" t="s">
        <v>159</v>
      </c>
      <c r="B119" t="s">
        <v>511</v>
      </c>
      <c r="C119">
        <v>0</v>
      </c>
      <c r="F119" s="2" t="s">
        <v>367</v>
      </c>
      <c r="G119" s="3" t="s">
        <v>52</v>
      </c>
      <c r="H119" s="46">
        <f>INDEX(C$2:C$1001, MATCH("*"&amp;G119&amp;"*",A$2:A$1001,0))</f>
        <v>14714</v>
      </c>
      <c r="I119" s="10">
        <f t="shared" si="19"/>
        <v>7.3569996321500182E-4</v>
      </c>
      <c r="J119" s="10">
        <f t="shared" si="20"/>
        <v>3.5138964406908541E-4</v>
      </c>
      <c r="K119" s="10">
        <f t="shared" si="21"/>
        <v>7.0642632872147779E-4</v>
      </c>
      <c r="L119" s="19"/>
      <c r="M119" s="22" t="s">
        <v>369</v>
      </c>
    </row>
    <row r="120" spans="1:13" x14ac:dyDescent="0.2">
      <c r="A120" t="s">
        <v>512</v>
      </c>
      <c r="B120" t="s">
        <v>513</v>
      </c>
      <c r="C120">
        <v>0</v>
      </c>
      <c r="F120" s="2" t="s">
        <v>362</v>
      </c>
      <c r="G120" s="3" t="s">
        <v>201</v>
      </c>
      <c r="H120" s="46">
        <f>INDEX(C$2:C$1001, MATCH("*"&amp;G120&amp;"*",A$2:A$1001,0))</f>
        <v>64945</v>
      </c>
      <c r="I120" s="10">
        <f t="shared" si="19"/>
        <v>3.2472498376375082E-3</v>
      </c>
      <c r="J120" s="10">
        <f t="shared" si="20"/>
        <v>1.5509718930315857E-3</v>
      </c>
      <c r="K120" s="10">
        <f t="shared" si="21"/>
        <v>3.1180411797482924E-3</v>
      </c>
      <c r="L120" s="19"/>
      <c r="M120" s="22" t="s">
        <v>364</v>
      </c>
    </row>
    <row r="121" spans="1:13" x14ac:dyDescent="0.2">
      <c r="A121" t="s">
        <v>85</v>
      </c>
      <c r="B121" t="s">
        <v>514</v>
      </c>
      <c r="C121">
        <v>13102</v>
      </c>
      <c r="F121" s="2" t="s">
        <v>363</v>
      </c>
      <c r="G121" s="3" t="s">
        <v>203</v>
      </c>
      <c r="H121" s="46">
        <f>INDEX(C$2:C$1001, MATCH("*"&amp;G121&amp;"*",A$2:A$1001,0))</f>
        <v>112995</v>
      </c>
      <c r="I121" s="10">
        <f t="shared" si="19"/>
        <v>5.6497497175125137E-3</v>
      </c>
      <c r="J121" s="10">
        <f t="shared" si="20"/>
        <v>2.6984689976611597E-3</v>
      </c>
      <c r="K121" s="10">
        <f t="shared" si="21"/>
        <v>5.4249451552183898E-3</v>
      </c>
      <c r="L121" s="19"/>
      <c r="M121" s="22" t="s">
        <v>365</v>
      </c>
    </row>
    <row r="122" spans="1:13" x14ac:dyDescent="0.2">
      <c r="A122" t="s">
        <v>86</v>
      </c>
      <c r="B122" t="s">
        <v>515</v>
      </c>
      <c r="C122">
        <v>0</v>
      </c>
      <c r="F122" s="2" t="s">
        <v>370</v>
      </c>
      <c r="H122" s="13">
        <f>H110+H118+H120</f>
        <v>123590</v>
      </c>
      <c r="M122" s="12" t="s">
        <v>372</v>
      </c>
    </row>
    <row r="123" spans="1:13" x14ac:dyDescent="0.2">
      <c r="A123" t="s">
        <v>87</v>
      </c>
      <c r="B123" t="s">
        <v>516</v>
      </c>
      <c r="C123">
        <v>0</v>
      </c>
      <c r="F123" s="2" t="s">
        <v>371</v>
      </c>
      <c r="H123" s="13">
        <f>H113+H119+H121</f>
        <v>326911</v>
      </c>
      <c r="M123" s="12" t="s">
        <v>373</v>
      </c>
    </row>
    <row r="124" spans="1:13" x14ac:dyDescent="0.2">
      <c r="A124" t="s">
        <v>88</v>
      </c>
      <c r="B124" t="s">
        <v>517</v>
      </c>
      <c r="C124">
        <v>0</v>
      </c>
      <c r="I124" s="10"/>
      <c r="J124" s="10"/>
      <c r="K124" s="10"/>
      <c r="L124" s="19"/>
    </row>
    <row r="125" spans="1:13" x14ac:dyDescent="0.2">
      <c r="A125" t="s">
        <v>160</v>
      </c>
      <c r="B125" t="s">
        <v>518</v>
      </c>
      <c r="C125">
        <v>44856</v>
      </c>
      <c r="F125" s="6" t="s">
        <v>123</v>
      </c>
      <c r="G125" s="7"/>
      <c r="H125" s="8"/>
      <c r="I125" s="20"/>
      <c r="J125" s="9"/>
      <c r="K125" s="20"/>
      <c r="L125" s="20"/>
      <c r="M125" s="23"/>
    </row>
    <row r="126" spans="1:13" x14ac:dyDescent="0.2">
      <c r="A126" t="s">
        <v>161</v>
      </c>
      <c r="B126" t="s">
        <v>519</v>
      </c>
      <c r="C126">
        <v>2180</v>
      </c>
      <c r="E126"/>
      <c r="F126" s="36" t="s">
        <v>124</v>
      </c>
      <c r="G126" s="32" t="s">
        <v>121</v>
      </c>
      <c r="H126" s="13">
        <f>INDEX(C$2:C$1001, MATCH("*"&amp;G126&amp;"*",A$2:A$1001,0))</f>
        <v>0</v>
      </c>
      <c r="I126" s="38">
        <f t="shared" ref="I126:I135" si="22">H126/H$6</f>
        <v>0</v>
      </c>
      <c r="J126" s="33"/>
      <c r="K126" s="19">
        <f t="shared" ref="K126:K135" si="23">H126/$H$5</f>
        <v>0</v>
      </c>
      <c r="M126" s="12" t="s">
        <v>126</v>
      </c>
    </row>
    <row r="127" spans="1:13" x14ac:dyDescent="0.2">
      <c r="A127" t="s">
        <v>162</v>
      </c>
      <c r="B127" t="s">
        <v>520</v>
      </c>
      <c r="C127">
        <v>247541</v>
      </c>
      <c r="E127"/>
      <c r="F127" s="36" t="s">
        <v>301</v>
      </c>
      <c r="G127" s="32" t="s">
        <v>179</v>
      </c>
      <c r="H127" s="13">
        <f>INDEX(C$2:C$1001, MATCH("*"&amp;G127&amp;"*",A$2:A$1001,0))</f>
        <v>0</v>
      </c>
      <c r="I127" s="38">
        <f t="shared" si="22"/>
        <v>0</v>
      </c>
      <c r="J127" s="33"/>
      <c r="K127" s="19">
        <f t="shared" si="23"/>
        <v>0</v>
      </c>
      <c r="M127" s="12" t="s">
        <v>302</v>
      </c>
    </row>
    <row r="128" spans="1:13" x14ac:dyDescent="0.2">
      <c r="A128" t="s">
        <v>163</v>
      </c>
      <c r="B128" t="s">
        <v>521</v>
      </c>
      <c r="C128">
        <v>0</v>
      </c>
      <c r="E128"/>
      <c r="F128" s="36" t="s">
        <v>303</v>
      </c>
      <c r="G128" s="32" t="s">
        <v>180</v>
      </c>
      <c r="H128" s="13">
        <f>INDEX(C$2:C$1001, MATCH("*"&amp;G128&amp;"*",A$2:A$1001,0))</f>
        <v>0</v>
      </c>
      <c r="I128" s="38">
        <f t="shared" si="22"/>
        <v>0</v>
      </c>
      <c r="J128" s="33"/>
      <c r="K128" s="19">
        <f t="shared" si="23"/>
        <v>0</v>
      </c>
      <c r="M128" s="12" t="s">
        <v>304</v>
      </c>
    </row>
    <row r="129" spans="1:13" x14ac:dyDescent="0.2">
      <c r="A129" t="s">
        <v>164</v>
      </c>
      <c r="B129" t="s">
        <v>522</v>
      </c>
      <c r="C129">
        <v>47938</v>
      </c>
      <c r="E129"/>
      <c r="F129" s="36" t="s">
        <v>306</v>
      </c>
      <c r="G129" s="32" t="s">
        <v>125</v>
      </c>
      <c r="H129" s="13">
        <f>INDEX(C$2:C$1001, MATCH("*"&amp;G129&amp;"*",A$2:A$1001,0))</f>
        <v>0</v>
      </c>
      <c r="I129" s="38">
        <f t="shared" si="22"/>
        <v>0</v>
      </c>
      <c r="J129" s="33"/>
      <c r="K129" s="19">
        <f t="shared" si="23"/>
        <v>0</v>
      </c>
      <c r="M129" s="12" t="s">
        <v>305</v>
      </c>
    </row>
    <row r="130" spans="1:13" x14ac:dyDescent="0.2">
      <c r="A130" t="s">
        <v>165</v>
      </c>
      <c r="B130" t="s">
        <v>523</v>
      </c>
      <c r="C130">
        <v>42730</v>
      </c>
      <c r="E130"/>
      <c r="F130" s="36" t="s">
        <v>308</v>
      </c>
      <c r="H130" s="13">
        <f>H6-H126</f>
        <v>20000001</v>
      </c>
      <c r="I130" s="38">
        <f t="shared" si="22"/>
        <v>1</v>
      </c>
      <c r="K130" s="19">
        <f t="shared" si="23"/>
        <v>0.96020981927795879</v>
      </c>
      <c r="M130" s="12" t="s">
        <v>307</v>
      </c>
    </row>
    <row r="131" spans="1:13" x14ac:dyDescent="0.2">
      <c r="A131" t="s">
        <v>166</v>
      </c>
      <c r="B131" t="s">
        <v>524</v>
      </c>
      <c r="C131">
        <v>0</v>
      </c>
      <c r="E131"/>
      <c r="F131" s="36" t="s">
        <v>310</v>
      </c>
      <c r="G131" s="32" t="s">
        <v>185</v>
      </c>
      <c r="H131" s="13">
        <f>INDEX(C$2:C$1001, MATCH("*"&amp;G131&amp;"*",A$2:A$1001,0))</f>
        <v>0</v>
      </c>
      <c r="I131" s="38">
        <f t="shared" si="22"/>
        <v>0</v>
      </c>
      <c r="J131" s="33"/>
      <c r="K131" s="19">
        <f t="shared" si="23"/>
        <v>0</v>
      </c>
      <c r="M131" s="12" t="s">
        <v>313</v>
      </c>
    </row>
    <row r="132" spans="1:13" x14ac:dyDescent="0.2">
      <c r="A132" t="s">
        <v>167</v>
      </c>
      <c r="B132" t="s">
        <v>525</v>
      </c>
      <c r="C132">
        <v>4656</v>
      </c>
      <c r="E132"/>
      <c r="F132" s="36" t="s">
        <v>311</v>
      </c>
      <c r="G132" s="32" t="s">
        <v>122</v>
      </c>
      <c r="H132" s="13">
        <f>INDEX(C$2:C$1001, MATCH("*"&amp;G132&amp;"*",A$2:A$1001,0))</f>
        <v>0</v>
      </c>
      <c r="I132" s="38">
        <f t="shared" si="22"/>
        <v>0</v>
      </c>
      <c r="J132" s="33"/>
      <c r="K132" s="19">
        <f t="shared" si="23"/>
        <v>0</v>
      </c>
      <c r="M132" s="12" t="s">
        <v>309</v>
      </c>
    </row>
    <row r="133" spans="1:13" x14ac:dyDescent="0.2">
      <c r="A133" t="s">
        <v>168</v>
      </c>
      <c r="B133" t="s">
        <v>526</v>
      </c>
      <c r="C133">
        <v>0</v>
      </c>
      <c r="E133"/>
      <c r="F133" s="36" t="s">
        <v>312</v>
      </c>
      <c r="G133" s="32" t="s">
        <v>213</v>
      </c>
      <c r="H133" s="13">
        <f>INDEX(C$2:C$1001, MATCH("*"&amp;G133&amp;"*",A$2:A$1001,0))</f>
        <v>0</v>
      </c>
      <c r="I133" s="38">
        <f t="shared" si="22"/>
        <v>0</v>
      </c>
      <c r="J133" s="33"/>
      <c r="K133" s="19">
        <f t="shared" si="23"/>
        <v>0</v>
      </c>
      <c r="M133" s="12" t="s">
        <v>314</v>
      </c>
    </row>
    <row r="134" spans="1:13" x14ac:dyDescent="0.2">
      <c r="A134" t="s">
        <v>169</v>
      </c>
      <c r="B134" t="s">
        <v>527</v>
      </c>
      <c r="C134">
        <v>0</v>
      </c>
      <c r="F134" s="36" t="s">
        <v>315</v>
      </c>
      <c r="G134" s="32" t="s">
        <v>183</v>
      </c>
      <c r="H134" s="13">
        <f>INDEX(C$2:C$1001, MATCH("*"&amp;G134&amp;"*",A$2:A$1001,0))</f>
        <v>0</v>
      </c>
      <c r="I134" s="38">
        <f t="shared" si="22"/>
        <v>0</v>
      </c>
      <c r="J134" s="33"/>
      <c r="K134" s="19">
        <f t="shared" si="23"/>
        <v>0</v>
      </c>
      <c r="M134" s="12" t="s">
        <v>317</v>
      </c>
    </row>
    <row r="135" spans="1:13" x14ac:dyDescent="0.2">
      <c r="A135" t="s">
        <v>170</v>
      </c>
      <c r="B135" t="s">
        <v>528</v>
      </c>
      <c r="C135">
        <v>0</v>
      </c>
      <c r="F135" s="36" t="s">
        <v>316</v>
      </c>
      <c r="G135" s="32" t="s">
        <v>184</v>
      </c>
      <c r="H135" s="13">
        <f>INDEX(C$2:C$1001, MATCH("*"&amp;G135&amp;"*",A$2:A$1001,0))</f>
        <v>0</v>
      </c>
      <c r="I135" s="38">
        <f t="shared" si="22"/>
        <v>0</v>
      </c>
      <c r="J135" s="33"/>
      <c r="K135" s="19">
        <f t="shared" si="23"/>
        <v>0</v>
      </c>
      <c r="M135" s="12" t="s">
        <v>318</v>
      </c>
    </row>
    <row r="136" spans="1:13" x14ac:dyDescent="0.2">
      <c r="A136" t="s">
        <v>171</v>
      </c>
      <c r="B136" t="s">
        <v>529</v>
      </c>
      <c r="C136">
        <v>540496</v>
      </c>
      <c r="F136" s="36" t="s">
        <v>319</v>
      </c>
      <c r="H136" s="38" t="e">
        <f>(H132+H133)/H131</f>
        <v>#DIV/0!</v>
      </c>
      <c r="M136" s="12" t="s">
        <v>320</v>
      </c>
    </row>
    <row r="137" spans="1:13" x14ac:dyDescent="0.2">
      <c r="A137" t="s">
        <v>530</v>
      </c>
      <c r="B137" t="s">
        <v>531</v>
      </c>
      <c r="C137">
        <v>0</v>
      </c>
    </row>
    <row r="138" spans="1:13" x14ac:dyDescent="0.2">
      <c r="A138" t="s">
        <v>532</v>
      </c>
      <c r="B138" t="s">
        <v>533</v>
      </c>
      <c r="C138">
        <v>0</v>
      </c>
    </row>
    <row r="139" spans="1:13" x14ac:dyDescent="0.2">
      <c r="A139" t="s">
        <v>534</v>
      </c>
      <c r="B139" t="s">
        <v>535</v>
      </c>
      <c r="C139">
        <v>0</v>
      </c>
    </row>
    <row r="140" spans="1:13" x14ac:dyDescent="0.2">
      <c r="A140" t="s">
        <v>536</v>
      </c>
      <c r="B140" t="s">
        <v>537</v>
      </c>
      <c r="C140">
        <v>0</v>
      </c>
    </row>
    <row r="141" spans="1:13" x14ac:dyDescent="0.2">
      <c r="A141" t="s">
        <v>538</v>
      </c>
      <c r="B141" t="s">
        <v>539</v>
      </c>
      <c r="C141">
        <v>0</v>
      </c>
    </row>
    <row r="142" spans="1:13" x14ac:dyDescent="0.2">
      <c r="A142" t="s">
        <v>172</v>
      </c>
      <c r="B142" t="s">
        <v>540</v>
      </c>
      <c r="C142">
        <v>0</v>
      </c>
    </row>
    <row r="143" spans="1:13" x14ac:dyDescent="0.2">
      <c r="A143" t="s">
        <v>173</v>
      </c>
      <c r="B143" t="s">
        <v>541</v>
      </c>
      <c r="C143">
        <v>0</v>
      </c>
    </row>
    <row r="144" spans="1:13" x14ac:dyDescent="0.2">
      <c r="A144" t="s">
        <v>174</v>
      </c>
      <c r="B144" t="s">
        <v>542</v>
      </c>
      <c r="C144">
        <v>0</v>
      </c>
    </row>
    <row r="145" spans="1:3" x14ac:dyDescent="0.2">
      <c r="A145" t="s">
        <v>175</v>
      </c>
      <c r="B145" t="s">
        <v>543</v>
      </c>
      <c r="C145">
        <v>0</v>
      </c>
    </row>
    <row r="146" spans="1:3" x14ac:dyDescent="0.2">
      <c r="A146" t="s">
        <v>176</v>
      </c>
      <c r="B146" t="s">
        <v>544</v>
      </c>
      <c r="C146">
        <v>1888198</v>
      </c>
    </row>
    <row r="147" spans="1:3" x14ac:dyDescent="0.2">
      <c r="A147" t="s">
        <v>177</v>
      </c>
      <c r="B147" t="s">
        <v>545</v>
      </c>
      <c r="C147">
        <v>2346427</v>
      </c>
    </row>
    <row r="148" spans="1:3" x14ac:dyDescent="0.2">
      <c r="A148" t="s">
        <v>206</v>
      </c>
      <c r="B148" t="s">
        <v>546</v>
      </c>
      <c r="C148">
        <v>5798459</v>
      </c>
    </row>
    <row r="149" spans="1:3" x14ac:dyDescent="0.2">
      <c r="A149" t="s">
        <v>207</v>
      </c>
      <c r="B149" t="s">
        <v>547</v>
      </c>
      <c r="C149">
        <v>3149592</v>
      </c>
    </row>
    <row r="150" spans="1:3" x14ac:dyDescent="0.2">
      <c r="A150" t="s">
        <v>208</v>
      </c>
      <c r="B150" t="s">
        <v>548</v>
      </c>
      <c r="C150">
        <v>7014838</v>
      </c>
    </row>
    <row r="151" spans="1:3" x14ac:dyDescent="0.2">
      <c r="A151" t="s">
        <v>209</v>
      </c>
      <c r="B151" t="s">
        <v>549</v>
      </c>
      <c r="C151">
        <v>1042839</v>
      </c>
    </row>
    <row r="152" spans="1:3" x14ac:dyDescent="0.2">
      <c r="A152" t="s">
        <v>210</v>
      </c>
      <c r="B152" t="s">
        <v>550</v>
      </c>
      <c r="C152">
        <v>42853</v>
      </c>
    </row>
    <row r="153" spans="1:3" x14ac:dyDescent="0.2">
      <c r="A153" t="s">
        <v>120</v>
      </c>
      <c r="B153" t="s">
        <v>551</v>
      </c>
      <c r="C153">
        <v>0</v>
      </c>
    </row>
    <row r="154" spans="1:3" x14ac:dyDescent="0.2">
      <c r="A154" t="s">
        <v>121</v>
      </c>
      <c r="B154" t="s">
        <v>552</v>
      </c>
      <c r="C154">
        <v>0</v>
      </c>
    </row>
    <row r="155" spans="1:3" x14ac:dyDescent="0.2">
      <c r="A155" t="s">
        <v>178</v>
      </c>
      <c r="B155" t="s">
        <v>553</v>
      </c>
      <c r="C155">
        <v>0</v>
      </c>
    </row>
    <row r="156" spans="1:3" x14ac:dyDescent="0.2">
      <c r="A156" t="s">
        <v>179</v>
      </c>
      <c r="B156" t="s">
        <v>554</v>
      </c>
      <c r="C156">
        <v>0</v>
      </c>
    </row>
    <row r="157" spans="1:3" x14ac:dyDescent="0.2">
      <c r="A157" t="s">
        <v>180</v>
      </c>
      <c r="B157" t="s">
        <v>555</v>
      </c>
      <c r="C157">
        <v>0</v>
      </c>
    </row>
    <row r="158" spans="1:3" x14ac:dyDescent="0.2">
      <c r="A158" t="s">
        <v>125</v>
      </c>
      <c r="B158" t="s">
        <v>556</v>
      </c>
      <c r="C158">
        <v>0</v>
      </c>
    </row>
    <row r="159" spans="1:3" x14ac:dyDescent="0.2">
      <c r="A159" t="s">
        <v>181</v>
      </c>
      <c r="B159" t="s">
        <v>557</v>
      </c>
      <c r="C159">
        <v>0</v>
      </c>
    </row>
    <row r="160" spans="1:3" x14ac:dyDescent="0.2">
      <c r="A160" t="s">
        <v>374</v>
      </c>
      <c r="B160" t="s">
        <v>558</v>
      </c>
      <c r="C160">
        <v>0</v>
      </c>
    </row>
    <row r="161" spans="1:3" x14ac:dyDescent="0.2">
      <c r="A161" t="s">
        <v>182</v>
      </c>
      <c r="B161" t="s">
        <v>559</v>
      </c>
      <c r="C161">
        <v>0</v>
      </c>
    </row>
    <row r="162" spans="1:3" x14ac:dyDescent="0.2">
      <c r="A162" t="s">
        <v>183</v>
      </c>
      <c r="B162" t="s">
        <v>560</v>
      </c>
      <c r="C162">
        <v>0</v>
      </c>
    </row>
    <row r="163" spans="1:3" x14ac:dyDescent="0.2">
      <c r="A163" t="s">
        <v>184</v>
      </c>
      <c r="B163" t="s">
        <v>561</v>
      </c>
      <c r="C163">
        <v>0</v>
      </c>
    </row>
    <row r="164" spans="1:3" x14ac:dyDescent="0.2">
      <c r="A164" t="s">
        <v>185</v>
      </c>
      <c r="B164" t="s">
        <v>562</v>
      </c>
      <c r="C164">
        <v>0</v>
      </c>
    </row>
    <row r="165" spans="1:3" x14ac:dyDescent="0.2">
      <c r="A165" t="s">
        <v>122</v>
      </c>
      <c r="B165" t="s">
        <v>563</v>
      </c>
      <c r="C165">
        <v>0</v>
      </c>
    </row>
    <row r="166" spans="1:3" x14ac:dyDescent="0.2">
      <c r="A166" t="s">
        <v>211</v>
      </c>
      <c r="B166" t="s">
        <v>564</v>
      </c>
      <c r="C166">
        <v>0</v>
      </c>
    </row>
    <row r="167" spans="1:3" x14ac:dyDescent="0.2">
      <c r="A167" t="s">
        <v>212</v>
      </c>
      <c r="B167" t="s">
        <v>565</v>
      </c>
      <c r="C167">
        <v>0</v>
      </c>
    </row>
    <row r="168" spans="1:3" x14ac:dyDescent="0.2">
      <c r="A168" t="s">
        <v>213</v>
      </c>
      <c r="B168" t="s">
        <v>566</v>
      </c>
      <c r="C168">
        <v>0</v>
      </c>
    </row>
    <row r="169" spans="1:3" x14ac:dyDescent="0.2">
      <c r="A169"/>
      <c r="B169"/>
      <c r="C169"/>
    </row>
    <row r="170" spans="1:3" x14ac:dyDescent="0.2">
      <c r="A170"/>
      <c r="B170"/>
      <c r="C170"/>
    </row>
    <row r="171" spans="1:3" x14ac:dyDescent="0.2">
      <c r="A171"/>
      <c r="B171"/>
      <c r="C171"/>
    </row>
    <row r="172" spans="1:3" x14ac:dyDescent="0.2">
      <c r="A172"/>
      <c r="B172"/>
      <c r="C172"/>
    </row>
    <row r="173" spans="1:3" x14ac:dyDescent="0.2">
      <c r="A173"/>
      <c r="B173"/>
      <c r="C173"/>
    </row>
    <row r="174" spans="1:3" x14ac:dyDescent="0.2">
      <c r="A174"/>
      <c r="B174"/>
      <c r="C174"/>
    </row>
    <row r="175" spans="1:3" x14ac:dyDescent="0.2">
      <c r="A175"/>
      <c r="B175"/>
      <c r="C175"/>
    </row>
    <row r="176" spans="1:3" x14ac:dyDescent="0.2">
      <c r="A176"/>
      <c r="B176"/>
      <c r="C176"/>
    </row>
    <row r="177" spans="1:3" x14ac:dyDescent="0.2">
      <c r="A177"/>
      <c r="B177"/>
      <c r="C177"/>
    </row>
    <row r="178" spans="1:3" x14ac:dyDescent="0.2">
      <c r="A178"/>
      <c r="B178"/>
      <c r="C178"/>
    </row>
    <row r="179" spans="1:3" x14ac:dyDescent="0.2">
      <c r="A179"/>
      <c r="B179"/>
      <c r="C179"/>
    </row>
    <row r="180" spans="1:3" x14ac:dyDescent="0.2">
      <c r="A180"/>
      <c r="B180"/>
      <c r="C180"/>
    </row>
    <row r="181" spans="1:3" x14ac:dyDescent="0.2">
      <c r="A181"/>
      <c r="B181"/>
      <c r="C181"/>
    </row>
    <row r="182" spans="1:3" x14ac:dyDescent="0.2">
      <c r="A182"/>
      <c r="B182"/>
      <c r="C182"/>
    </row>
    <row r="183" spans="1:3" x14ac:dyDescent="0.2">
      <c r="A183"/>
      <c r="B183"/>
      <c r="C183"/>
    </row>
    <row r="184" spans="1:3" x14ac:dyDescent="0.2">
      <c r="A184"/>
      <c r="B184"/>
      <c r="C184"/>
    </row>
    <row r="185" spans="1:3" x14ac:dyDescent="0.2">
      <c r="A185"/>
      <c r="B185"/>
      <c r="C185"/>
    </row>
    <row r="186" spans="1:3" x14ac:dyDescent="0.2">
      <c r="A186"/>
      <c r="B186"/>
      <c r="C186"/>
    </row>
    <row r="187" spans="1:3" x14ac:dyDescent="0.2">
      <c r="A187"/>
      <c r="B187"/>
      <c r="C187"/>
    </row>
    <row r="188" spans="1:3" x14ac:dyDescent="0.2">
      <c r="A188"/>
      <c r="B188"/>
      <c r="C188"/>
    </row>
    <row r="189" spans="1:3" x14ac:dyDescent="0.2">
      <c r="A189"/>
      <c r="B189"/>
      <c r="C189"/>
    </row>
    <row r="190" spans="1:3" x14ac:dyDescent="0.2">
      <c r="A190"/>
      <c r="B190"/>
      <c r="C190"/>
    </row>
    <row r="191" spans="1:3" x14ac:dyDescent="0.2">
      <c r="A191"/>
      <c r="B191"/>
      <c r="C191"/>
    </row>
    <row r="192" spans="1:3" x14ac:dyDescent="0.2">
      <c r="A192"/>
      <c r="B192"/>
      <c r="C192"/>
    </row>
    <row r="193" spans="1:3" x14ac:dyDescent="0.2">
      <c r="A193"/>
      <c r="B193"/>
      <c r="C193"/>
    </row>
    <row r="194" spans="1:3" x14ac:dyDescent="0.2">
      <c r="A194"/>
      <c r="B194"/>
      <c r="C194"/>
    </row>
    <row r="195" spans="1:3" x14ac:dyDescent="0.2">
      <c r="A195"/>
      <c r="B195"/>
      <c r="C195"/>
    </row>
    <row r="196" spans="1:3" x14ac:dyDescent="0.2">
      <c r="A196"/>
      <c r="B196"/>
      <c r="C196"/>
    </row>
    <row r="197" spans="1:3" x14ac:dyDescent="0.2">
      <c r="A197"/>
      <c r="B197"/>
      <c r="C197"/>
    </row>
    <row r="198" spans="1:3" x14ac:dyDescent="0.2">
      <c r="A198"/>
      <c r="B198"/>
      <c r="C198"/>
    </row>
    <row r="199" spans="1:3" x14ac:dyDescent="0.2">
      <c r="A199"/>
      <c r="B199"/>
      <c r="C199"/>
    </row>
    <row r="200" spans="1:3" x14ac:dyDescent="0.2">
      <c r="A200"/>
      <c r="B200"/>
      <c r="C200"/>
    </row>
    <row r="201" spans="1:3" x14ac:dyDescent="0.2">
      <c r="A201"/>
      <c r="B201"/>
      <c r="C201"/>
    </row>
    <row r="202" spans="1:3" x14ac:dyDescent="0.2">
      <c r="A202"/>
      <c r="B202"/>
      <c r="C202"/>
    </row>
    <row r="203" spans="1:3" x14ac:dyDescent="0.2">
      <c r="A203"/>
      <c r="B203"/>
      <c r="C203"/>
    </row>
    <row r="204" spans="1:3" x14ac:dyDescent="0.2">
      <c r="A204"/>
      <c r="B204"/>
      <c r="C204"/>
    </row>
    <row r="205" spans="1:3" x14ac:dyDescent="0.2">
      <c r="A205"/>
      <c r="B205"/>
      <c r="C205"/>
    </row>
    <row r="206" spans="1:3" x14ac:dyDescent="0.2">
      <c r="A206"/>
      <c r="B206"/>
      <c r="C206"/>
    </row>
    <row r="207" spans="1:3" x14ac:dyDescent="0.2">
      <c r="A207"/>
      <c r="B207"/>
      <c r="C207"/>
    </row>
    <row r="208" spans="1:3" x14ac:dyDescent="0.2">
      <c r="A208"/>
      <c r="B208"/>
      <c r="C208"/>
    </row>
    <row r="209" spans="1:3" x14ac:dyDescent="0.2">
      <c r="A209"/>
      <c r="B209"/>
      <c r="C209"/>
    </row>
    <row r="210" spans="1:3" x14ac:dyDescent="0.2">
      <c r="A210"/>
      <c r="B210"/>
      <c r="C210"/>
    </row>
    <row r="211" spans="1:3" x14ac:dyDescent="0.2">
      <c r="A211"/>
      <c r="B211"/>
      <c r="C211"/>
    </row>
    <row r="212" spans="1:3" x14ac:dyDescent="0.2">
      <c r="A212"/>
      <c r="B212"/>
      <c r="C212"/>
    </row>
    <row r="213" spans="1:3" x14ac:dyDescent="0.2">
      <c r="A213"/>
      <c r="B213"/>
      <c r="C213"/>
    </row>
    <row r="214" spans="1:3" x14ac:dyDescent="0.2">
      <c r="A214"/>
      <c r="B214"/>
      <c r="C214"/>
    </row>
    <row r="215" spans="1:3" x14ac:dyDescent="0.2">
      <c r="A215"/>
      <c r="B215"/>
      <c r="C215"/>
    </row>
    <row r="216" spans="1:3" x14ac:dyDescent="0.2">
      <c r="A216"/>
      <c r="B216"/>
      <c r="C216"/>
    </row>
    <row r="217" spans="1:3" x14ac:dyDescent="0.2">
      <c r="A217"/>
      <c r="B217"/>
      <c r="C217"/>
    </row>
    <row r="218" spans="1:3" x14ac:dyDescent="0.2">
      <c r="A218"/>
      <c r="B218"/>
      <c r="C218"/>
    </row>
    <row r="219" spans="1:3" x14ac:dyDescent="0.2">
      <c r="A219"/>
      <c r="B219"/>
      <c r="C219"/>
    </row>
    <row r="220" spans="1:3" x14ac:dyDescent="0.2">
      <c r="A220"/>
      <c r="B220"/>
      <c r="C220"/>
    </row>
    <row r="221" spans="1:3" x14ac:dyDescent="0.2">
      <c r="A221"/>
      <c r="B221"/>
      <c r="C221"/>
    </row>
    <row r="222" spans="1:3" x14ac:dyDescent="0.2">
      <c r="A222"/>
      <c r="B222"/>
      <c r="C222"/>
    </row>
    <row r="223" spans="1:3" x14ac:dyDescent="0.2">
      <c r="A223"/>
      <c r="B223"/>
      <c r="C223"/>
    </row>
    <row r="224" spans="1:3" x14ac:dyDescent="0.2">
      <c r="A224"/>
      <c r="B224"/>
      <c r="C224"/>
    </row>
    <row r="225" spans="1:3" x14ac:dyDescent="0.2">
      <c r="A225"/>
      <c r="B225"/>
      <c r="C225"/>
    </row>
    <row r="226" spans="1:3" x14ac:dyDescent="0.2">
      <c r="A226"/>
      <c r="B226"/>
      <c r="C226"/>
    </row>
    <row r="227" spans="1:3" x14ac:dyDescent="0.2">
      <c r="A227"/>
      <c r="B227"/>
      <c r="C227"/>
    </row>
    <row r="228" spans="1:3" x14ac:dyDescent="0.2">
      <c r="A228"/>
      <c r="B228"/>
      <c r="C228"/>
    </row>
    <row r="229" spans="1:3" x14ac:dyDescent="0.2">
      <c r="A229"/>
      <c r="B229"/>
      <c r="C229"/>
    </row>
    <row r="230" spans="1:3" x14ac:dyDescent="0.2">
      <c r="A230"/>
      <c r="B230"/>
      <c r="C230"/>
    </row>
    <row r="231" spans="1:3" x14ac:dyDescent="0.2">
      <c r="A231"/>
      <c r="B231"/>
      <c r="C231"/>
    </row>
    <row r="232" spans="1:3" x14ac:dyDescent="0.2">
      <c r="A232"/>
      <c r="B232"/>
      <c r="C232"/>
    </row>
    <row r="233" spans="1:3" x14ac:dyDescent="0.2">
      <c r="A233"/>
      <c r="B233"/>
      <c r="C233"/>
    </row>
    <row r="234" spans="1:3" x14ac:dyDescent="0.2">
      <c r="A234"/>
      <c r="B234"/>
      <c r="C234"/>
    </row>
    <row r="235" spans="1:3" x14ac:dyDescent="0.2">
      <c r="A235"/>
      <c r="B235"/>
      <c r="C235"/>
    </row>
    <row r="236" spans="1:3" x14ac:dyDescent="0.2">
      <c r="A236"/>
      <c r="B236"/>
      <c r="C236"/>
    </row>
    <row r="237" spans="1:3" x14ac:dyDescent="0.2">
      <c r="A237"/>
      <c r="B237"/>
      <c r="C237"/>
    </row>
    <row r="238" spans="1:3" x14ac:dyDescent="0.2">
      <c r="A238"/>
      <c r="B238"/>
      <c r="C238"/>
    </row>
    <row r="239" spans="1:3" x14ac:dyDescent="0.2">
      <c r="A239"/>
      <c r="B239"/>
      <c r="C239"/>
    </row>
    <row r="240" spans="1:3" x14ac:dyDescent="0.2">
      <c r="A240"/>
      <c r="B240"/>
      <c r="C240"/>
    </row>
    <row r="241" spans="1:3" x14ac:dyDescent="0.2">
      <c r="A241"/>
      <c r="B241"/>
      <c r="C241"/>
    </row>
    <row r="242" spans="1:3" x14ac:dyDescent="0.2">
      <c r="A242"/>
      <c r="B242"/>
      <c r="C242"/>
    </row>
    <row r="243" spans="1:3" x14ac:dyDescent="0.2">
      <c r="A243"/>
      <c r="B243"/>
      <c r="C243"/>
    </row>
    <row r="244" spans="1:3" x14ac:dyDescent="0.2">
      <c r="A244"/>
      <c r="B244"/>
      <c r="C244"/>
    </row>
    <row r="245" spans="1:3" x14ac:dyDescent="0.2">
      <c r="A245"/>
      <c r="B245"/>
      <c r="C245"/>
    </row>
    <row r="246" spans="1:3" x14ac:dyDescent="0.2">
      <c r="A246"/>
      <c r="B246"/>
      <c r="C246"/>
    </row>
    <row r="247" spans="1:3" x14ac:dyDescent="0.2">
      <c r="A247"/>
      <c r="B247"/>
      <c r="C247"/>
    </row>
    <row r="248" spans="1:3" x14ac:dyDescent="0.2">
      <c r="A248"/>
      <c r="B248"/>
      <c r="C248"/>
    </row>
    <row r="249" spans="1:3" x14ac:dyDescent="0.2">
      <c r="A249"/>
      <c r="B249"/>
      <c r="C249"/>
    </row>
    <row r="250" spans="1:3" x14ac:dyDescent="0.2">
      <c r="A250"/>
      <c r="B250"/>
      <c r="C250"/>
    </row>
    <row r="251" spans="1:3" x14ac:dyDescent="0.2">
      <c r="A251"/>
      <c r="B251"/>
      <c r="C251"/>
    </row>
    <row r="252" spans="1:3" x14ac:dyDescent="0.2">
      <c r="A252"/>
      <c r="B252"/>
      <c r="C252"/>
    </row>
    <row r="253" spans="1:3" x14ac:dyDescent="0.2">
      <c r="A253"/>
      <c r="B253"/>
      <c r="C253"/>
    </row>
    <row r="254" spans="1:3" x14ac:dyDescent="0.2">
      <c r="A254"/>
      <c r="B254"/>
      <c r="C254"/>
    </row>
    <row r="255" spans="1:3" x14ac:dyDescent="0.2">
      <c r="A255"/>
      <c r="B255"/>
      <c r="C255"/>
    </row>
    <row r="256" spans="1:3" x14ac:dyDescent="0.2">
      <c r="A256"/>
      <c r="B256"/>
      <c r="C256"/>
    </row>
    <row r="257" spans="1:3" x14ac:dyDescent="0.2">
      <c r="A257"/>
      <c r="B257"/>
      <c r="C257"/>
    </row>
    <row r="258" spans="1:3" x14ac:dyDescent="0.2">
      <c r="A258"/>
      <c r="B258"/>
      <c r="C258"/>
    </row>
    <row r="259" spans="1:3" x14ac:dyDescent="0.2">
      <c r="A259"/>
      <c r="B259"/>
      <c r="C259"/>
    </row>
    <row r="260" spans="1:3" x14ac:dyDescent="0.2">
      <c r="A260"/>
      <c r="B260"/>
      <c r="C260"/>
    </row>
    <row r="261" spans="1:3" x14ac:dyDescent="0.2">
      <c r="A261"/>
      <c r="B261"/>
      <c r="C261"/>
    </row>
    <row r="262" spans="1:3" x14ac:dyDescent="0.2">
      <c r="A262"/>
      <c r="B262"/>
      <c r="C262"/>
    </row>
    <row r="263" spans="1:3" x14ac:dyDescent="0.2">
      <c r="A263"/>
      <c r="B263"/>
      <c r="C263"/>
    </row>
    <row r="264" spans="1:3" x14ac:dyDescent="0.2">
      <c r="A264"/>
      <c r="B264"/>
      <c r="C264"/>
    </row>
    <row r="265" spans="1:3" x14ac:dyDescent="0.2">
      <c r="A265"/>
      <c r="B265"/>
      <c r="C265"/>
    </row>
    <row r="266" spans="1:3" x14ac:dyDescent="0.2">
      <c r="A266"/>
      <c r="B266"/>
      <c r="C266"/>
    </row>
    <row r="267" spans="1:3" x14ac:dyDescent="0.2">
      <c r="A267"/>
      <c r="B267"/>
      <c r="C267"/>
    </row>
    <row r="268" spans="1:3" x14ac:dyDescent="0.2">
      <c r="A268"/>
      <c r="B268"/>
      <c r="C268"/>
    </row>
  </sheetData>
  <mergeCells count="2">
    <mergeCell ref="F1:M1"/>
    <mergeCell ref="A1:C1"/>
  </mergeCells>
  <conditionalFormatting sqref="H24">
    <cfRule type="containsErrors" dxfId="58" priority="158">
      <formula>ISERROR(H24)</formula>
    </cfRule>
  </conditionalFormatting>
  <conditionalFormatting sqref="H28 L25:L27 K25:K28 H23:J27 H2:L6 H39:L39 H31:L35 H41:L44 H15:L15 H55:L55 H81:L82 H79:L79 H125:L125 H207:L1048576 K57:L59 K70:L71 H29:L29 K23:L24 H100:L100 I85:L85 L72 H84:L84 H152:L194 H109:L117 H91:L91 H92:I96 K92:L96 J92:J97 H50:H52 I50:L51 H46:L49 H57:J62 H64:J71 K60:K62 K64:K69 H9:L11 H13:L13">
    <cfRule type="containsErrors" dxfId="57" priority="157">
      <formula>ISERROR(H2)</formula>
    </cfRule>
  </conditionalFormatting>
  <conditionalFormatting sqref="H126">
    <cfRule type="containsErrors" dxfId="56" priority="155">
      <formula>ISERROR(H126)</formula>
    </cfRule>
  </conditionalFormatting>
  <conditionalFormatting sqref="H18">
    <cfRule type="containsErrors" dxfId="55" priority="131">
      <formula>ISERROR(H18)</formula>
    </cfRule>
  </conditionalFormatting>
  <conditionalFormatting sqref="L52">
    <cfRule type="containsErrors" dxfId="54" priority="127">
      <formula>ISERROR(L52)</formula>
    </cfRule>
  </conditionalFormatting>
  <conditionalFormatting sqref="I52:K52">
    <cfRule type="containsErrors" dxfId="53" priority="123">
      <formula>ISERROR(I52)</formula>
    </cfRule>
  </conditionalFormatting>
  <conditionalFormatting sqref="H53">
    <cfRule type="containsErrors" dxfId="52" priority="122">
      <formula>ISERROR(H53)</formula>
    </cfRule>
  </conditionalFormatting>
  <conditionalFormatting sqref="L53">
    <cfRule type="containsErrors" dxfId="51" priority="121">
      <formula>ISERROR(L53)</formula>
    </cfRule>
  </conditionalFormatting>
  <conditionalFormatting sqref="I53:K53">
    <cfRule type="containsErrors" dxfId="50" priority="120">
      <formula>ISERROR(I53)</formula>
    </cfRule>
  </conditionalFormatting>
  <conditionalFormatting sqref="H54">
    <cfRule type="containsErrors" dxfId="49" priority="119">
      <formula>ISERROR(H54)</formula>
    </cfRule>
  </conditionalFormatting>
  <conditionalFormatting sqref="L54">
    <cfRule type="containsErrors" dxfId="48" priority="118">
      <formula>ISERROR(L54)</formula>
    </cfRule>
  </conditionalFormatting>
  <conditionalFormatting sqref="I54:K54">
    <cfRule type="containsErrors" dxfId="47" priority="117">
      <formula>ISERROR(I54)</formula>
    </cfRule>
  </conditionalFormatting>
  <conditionalFormatting sqref="H85">
    <cfRule type="containsErrors" dxfId="46" priority="103">
      <formula>ISERROR(H85)</formula>
    </cfRule>
  </conditionalFormatting>
  <conditionalFormatting sqref="L73">
    <cfRule type="containsErrors" dxfId="45" priority="99">
      <formula>ISERROR(L73)</formula>
    </cfRule>
  </conditionalFormatting>
  <conditionalFormatting sqref="H74:L74">
    <cfRule type="containsErrors" dxfId="44" priority="97">
      <formula>ISERROR(H74)</formula>
    </cfRule>
  </conditionalFormatting>
  <conditionalFormatting sqref="H80:L80">
    <cfRule type="containsErrors" dxfId="43" priority="96">
      <formula>ISERROR(H80)</formula>
    </cfRule>
  </conditionalFormatting>
  <conditionalFormatting sqref="H40:L40">
    <cfRule type="containsErrors" dxfId="42" priority="94">
      <formula>ISERROR(H40)</formula>
    </cfRule>
  </conditionalFormatting>
  <conditionalFormatting sqref="I8:L8">
    <cfRule type="containsErrors" dxfId="41" priority="93">
      <formula>ISERROR(I8)</formula>
    </cfRule>
  </conditionalFormatting>
  <conditionalFormatting sqref="H77">
    <cfRule type="containsErrors" dxfId="40" priority="91">
      <formula>ISERROR(H77)</formula>
    </cfRule>
  </conditionalFormatting>
  <conditionalFormatting sqref="H36:L36">
    <cfRule type="containsErrors" dxfId="39" priority="80">
      <formula>ISERROR(H36)</formula>
    </cfRule>
  </conditionalFormatting>
  <conditionalFormatting sqref="H127">
    <cfRule type="containsErrors" dxfId="38" priority="79">
      <formula>ISERROR(H127)</formula>
    </cfRule>
  </conditionalFormatting>
  <conditionalFormatting sqref="H128">
    <cfRule type="containsErrors" dxfId="37" priority="78">
      <formula>ISERROR(H128)</formula>
    </cfRule>
  </conditionalFormatting>
  <conditionalFormatting sqref="H129">
    <cfRule type="containsErrors" dxfId="36" priority="77">
      <formula>ISERROR(H129)</formula>
    </cfRule>
  </conditionalFormatting>
  <conditionalFormatting sqref="K126:K130">
    <cfRule type="containsErrors" dxfId="35" priority="75">
      <formula>ISERROR(K126)</formula>
    </cfRule>
  </conditionalFormatting>
  <conditionalFormatting sqref="K132">
    <cfRule type="containsErrors" dxfId="34" priority="73">
      <formula>ISERROR(K132)</formula>
    </cfRule>
  </conditionalFormatting>
  <conditionalFormatting sqref="K131">
    <cfRule type="containsErrors" dxfId="33" priority="71">
      <formula>ISERROR(K131)</formula>
    </cfRule>
  </conditionalFormatting>
  <conditionalFormatting sqref="H132">
    <cfRule type="containsErrors" dxfId="32" priority="74">
      <formula>ISERROR(H132)</formula>
    </cfRule>
  </conditionalFormatting>
  <conditionalFormatting sqref="K135">
    <cfRule type="containsErrors" dxfId="31" priority="65">
      <formula>ISERROR(K135)</formula>
    </cfRule>
  </conditionalFormatting>
  <conditionalFormatting sqref="H131">
    <cfRule type="containsErrors" dxfId="30" priority="72">
      <formula>ISERROR(H131)</formula>
    </cfRule>
  </conditionalFormatting>
  <conditionalFormatting sqref="K133">
    <cfRule type="containsErrors" dxfId="29" priority="69">
      <formula>ISERROR(K133)</formula>
    </cfRule>
  </conditionalFormatting>
  <conditionalFormatting sqref="H133">
    <cfRule type="containsErrors" dxfId="28" priority="70">
      <formula>ISERROR(H133)</formula>
    </cfRule>
  </conditionalFormatting>
  <conditionalFormatting sqref="K134">
    <cfRule type="containsErrors" dxfId="27" priority="67">
      <formula>ISERROR(K134)</formula>
    </cfRule>
  </conditionalFormatting>
  <conditionalFormatting sqref="H134">
    <cfRule type="containsErrors" dxfId="26" priority="68">
      <formula>ISERROR(H134)</formula>
    </cfRule>
  </conditionalFormatting>
  <conditionalFormatting sqref="H135">
    <cfRule type="containsErrors" dxfId="25" priority="66">
      <formula>ISERROR(H135)</formula>
    </cfRule>
  </conditionalFormatting>
  <conditionalFormatting sqref="H101:L101">
    <cfRule type="containsErrors" dxfId="24" priority="42">
      <formula>ISERROR(H101)</formula>
    </cfRule>
  </conditionalFormatting>
  <conditionalFormatting sqref="H107">
    <cfRule type="containsErrors" dxfId="23" priority="36">
      <formula>ISERROR(H107)</formula>
    </cfRule>
  </conditionalFormatting>
  <conditionalFormatting sqref="H106:L106">
    <cfRule type="containsErrors" dxfId="22" priority="38">
      <formula>ISERROR(H106)</formula>
    </cfRule>
  </conditionalFormatting>
  <conditionalFormatting sqref="H105:L105">
    <cfRule type="containsErrors" dxfId="21" priority="37">
      <formula>ISERROR(H105)</formula>
    </cfRule>
  </conditionalFormatting>
  <conditionalFormatting sqref="I107:K107">
    <cfRule type="containsErrors" dxfId="20" priority="35">
      <formula>ISERROR(I107)</formula>
    </cfRule>
  </conditionalFormatting>
  <conditionalFormatting sqref="H89:L89">
    <cfRule type="containsErrors" dxfId="19" priority="33">
      <formula>ISERROR(H89)</formula>
    </cfRule>
  </conditionalFormatting>
  <conditionalFormatting sqref="H72:K72">
    <cfRule type="containsErrors" dxfId="18" priority="32">
      <formula>ISERROR(H72)</formula>
    </cfRule>
  </conditionalFormatting>
  <conditionalFormatting sqref="H73:K73">
    <cfRule type="containsErrors" dxfId="17" priority="31">
      <formula>ISERROR(H73)</formula>
    </cfRule>
  </conditionalFormatting>
  <conditionalFormatting sqref="H102:L102">
    <cfRule type="containsErrors" dxfId="16" priority="20">
      <formula>ISERROR(H102)</formula>
    </cfRule>
  </conditionalFormatting>
  <conditionalFormatting sqref="I86:L86">
    <cfRule type="containsErrors" dxfId="15" priority="19">
      <formula>ISERROR(I86)</formula>
    </cfRule>
  </conditionalFormatting>
  <conditionalFormatting sqref="H86">
    <cfRule type="containsErrors" dxfId="14" priority="18">
      <formula>ISERROR(H86)</formula>
    </cfRule>
  </conditionalFormatting>
  <conditionalFormatting sqref="H87:L87">
    <cfRule type="containsErrors" dxfId="13" priority="17">
      <formula>ISERROR(H87)</formula>
    </cfRule>
  </conditionalFormatting>
  <conditionalFormatting sqref="H90:L90">
    <cfRule type="containsErrors" dxfId="12" priority="16">
      <formula>ISERROR(H90)</formula>
    </cfRule>
  </conditionalFormatting>
  <conditionalFormatting sqref="H120:L120 H124:L124">
    <cfRule type="containsErrors" dxfId="11" priority="15">
      <formula>ISERROR(H120)</formula>
    </cfRule>
  </conditionalFormatting>
  <conditionalFormatting sqref="H121:L121">
    <cfRule type="containsErrors" dxfId="10" priority="14">
      <formula>ISERROR(H121)</formula>
    </cfRule>
  </conditionalFormatting>
  <conditionalFormatting sqref="H118:L118">
    <cfRule type="containsErrors" dxfId="9" priority="13">
      <formula>ISERROR(H118)</formula>
    </cfRule>
  </conditionalFormatting>
  <conditionalFormatting sqref="H119:L119">
    <cfRule type="containsErrors" dxfId="8" priority="12">
      <formula>ISERROR(H119)</formula>
    </cfRule>
  </conditionalFormatting>
  <conditionalFormatting sqref="H19">
    <cfRule type="containsErrors" dxfId="7" priority="8">
      <formula>ISERROR(H19)</formula>
    </cfRule>
  </conditionalFormatting>
  <conditionalFormatting sqref="H20">
    <cfRule type="containsErrors" dxfId="6" priority="7">
      <formula>ISERROR(H20)</formula>
    </cfRule>
  </conditionalFormatting>
  <conditionalFormatting sqref="H21">
    <cfRule type="containsErrors" dxfId="5" priority="6">
      <formula>ISERROR(H21)</formula>
    </cfRule>
  </conditionalFormatting>
  <conditionalFormatting sqref="H37:L37">
    <cfRule type="containsErrors" dxfId="4" priority="5">
      <formula>ISERROR(H37)</formula>
    </cfRule>
  </conditionalFormatting>
  <conditionalFormatting sqref="H38:L38">
    <cfRule type="containsErrors" dxfId="3" priority="4">
      <formula>ISERROR(H38)</formula>
    </cfRule>
  </conditionalFormatting>
  <conditionalFormatting sqref="H88:L88">
    <cfRule type="containsErrors" dxfId="2" priority="3">
      <formula>ISERROR(H88)</formula>
    </cfRule>
  </conditionalFormatting>
  <conditionalFormatting sqref="H63:K63">
    <cfRule type="containsErrors" dxfId="1" priority="2">
      <formula>ISERROR(H63)</formula>
    </cfRule>
  </conditionalFormatting>
  <conditionalFormatting sqref="H12">
    <cfRule type="containsErrors" dxfId="0" priority="1">
      <formula>ISERROR(H12)</formula>
    </cfRule>
  </conditionalFormatting>
  <dataValidations xWindow="766" yWindow="238" count="1">
    <dataValidation allowBlank="1" showErrorMessage="1" prompt="Overall pcycle efficiency.  To improve, increase thread concurrency or reduce stalls or replays of running threads._x000a_" sqref="H13"/>
  </dataValidations>
  <hyperlinks>
    <hyperlink ref="A1:C1" r:id="rId1" display="(link to PMU descriptions)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6146" r:id="rId5" name="LoadPmuStatsButton">
          <controlPr autoLine="0" r:id="rId6">
            <anchor moveWithCells="1" sizeWithCells="1">
              <from>
                <xdr:col>12</xdr:col>
                <xdr:colOff>4352925</xdr:colOff>
                <xdr:row>0</xdr:row>
                <xdr:rowOff>9525</xdr:rowOff>
              </from>
              <to>
                <xdr:col>12</xdr:col>
                <xdr:colOff>5581650</xdr:colOff>
                <xdr:row>1</xdr:row>
                <xdr:rowOff>57150</xdr:rowOff>
              </to>
            </anchor>
          </controlPr>
        </control>
      </mc:Choice>
      <mc:Fallback>
        <control shapeId="6146" r:id="rId5" name="LoadPmuStatsButt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QDSP Document" ma:contentTypeID="0x010100F2CEE95F68733E49BA8521C37200612E00429C20686C88F244BFE1BB581E0EB682" ma:contentTypeVersion="4" ma:contentTypeDescription="" ma:contentTypeScope="" ma:versionID="416da51dcc3e2d15dd9c36636bb46e93">
  <xsd:schema xmlns:xsd="http://www.w3.org/2001/XMLSchema" xmlns:xs="http://www.w3.org/2001/XMLSchema" xmlns:p="http://schemas.microsoft.com/office/2006/metadata/properties" xmlns:ns2="ec260b42-f1b0-4123-bc4d-9a2f0f594992" xmlns:ns3="3b5ba2f1-c1ec-4383-9a92-34c1c420fb47" xmlns:ns4="http://schemas.microsoft.com/sharepoint/v4" targetNamespace="http://schemas.microsoft.com/office/2006/metadata/properties" ma:root="true" ma:fieldsID="cae0376821db17a2f6722877f569e516" ns2:_="" ns3:_="" ns4:_="">
    <xsd:import namespace="ec260b42-f1b0-4123-bc4d-9a2f0f594992"/>
    <xsd:import namespace="3b5ba2f1-c1ec-4383-9a92-34c1c420fb47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ffb1d9cf5a5a4ee3bc0eb8692be347f6" minOccurs="0"/>
                <xsd:element ref="ns2:TaxCatchAll" minOccurs="0"/>
                <xsd:element ref="ns2:TaxCatchAllLabel" minOccurs="0"/>
                <xsd:element ref="ns4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260b42-f1b0-4123-bc4d-9a2f0f594992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2" nillable="true" ma:displayName="Taxonomy Catch All Column" ma:hidden="true" ma:list="{8607fd7a-b65d-4ed9-a860-8abe5f52c0af}" ma:internalName="TaxCatchAll" ma:showField="CatchAllData" ma:web="ec260b42-f1b0-4123-bc4d-9a2f0f59499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3" nillable="true" ma:displayName="Taxonomy Catch All Column1" ma:hidden="true" ma:list="{8607fd7a-b65d-4ed9-a860-8abe5f52c0af}" ma:internalName="TaxCatchAllLabel" ma:readOnly="true" ma:showField="CatchAllDataLabel" ma:web="ec260b42-f1b0-4123-bc4d-9a2f0f59499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5ba2f1-c1ec-4383-9a92-34c1c420fb47" elementFormDefault="qualified">
    <xsd:import namespace="http://schemas.microsoft.com/office/2006/documentManagement/types"/>
    <xsd:import namespace="http://schemas.microsoft.com/office/infopath/2007/PartnerControls"/>
    <xsd:element name="ffb1d9cf5a5a4ee3bc0eb8692be347f6" ma:index="11" nillable="true" ma:taxonomy="true" ma:internalName="ffb1d9cf5a5a4ee3bc0eb8692be347f6" ma:taxonomyFieldName="QDSP_x0020_Functional_x0020_Group" ma:displayName="QDSP Functional Group" ma:default="" ma:fieldId="{ffb1d9cf-5a5a-4ee3-bc0e-b8692be347f6}" ma:sspId="09f8f6af-9d78-4eda-8f46-25f9273611bf" ma:termSetId="165ddcbb-73c2-45d8-aadf-14712245931b" ma:anchorId="d959a176-057d-4c2e-a4f2-3d82a9239669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5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c260b42-f1b0-4123-bc4d-9a2f0f594992"/>
    <IconOverlay xmlns="http://schemas.microsoft.com/sharepoint/v4" xsi:nil="true"/>
    <ffb1d9cf5a5a4ee3bc0eb8692be347f6 xmlns="3b5ba2f1-c1ec-4383-9a92-34c1c420fb47">
      <Terms xmlns="http://schemas.microsoft.com/office/infopath/2007/PartnerControls"/>
    </ffb1d9cf5a5a4ee3bc0eb8692be347f6>
    <_dlc_DocId xmlns="ec260b42-f1b0-4123-bc4d-9a2f0f594992">JYWNKVCQADWQ-424-3581</_dlc_DocId>
    <_dlc_DocIdUrl xmlns="ec260b42-f1b0-4123-bc4d-9a2f0f594992">
      <Url>http://sharepoint/qct/Modem-Tech/QDSP6/_layouts/DocIdRedir.aspx?ID=JYWNKVCQADWQ-424-3581</Url>
      <Description>JYWNKVCQADWQ-424-3581</Description>
    </_dlc_DocIdUrl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C8C854E2-15BC-4027-8A61-27382A51FE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c260b42-f1b0-4123-bc4d-9a2f0f594992"/>
    <ds:schemaRef ds:uri="3b5ba2f1-c1ec-4383-9a92-34c1c420fb47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B3F917E-DACE-4642-9A62-81A531EBA247}">
  <ds:schemaRefs>
    <ds:schemaRef ds:uri="http://schemas.microsoft.com/office/2006/documentManagement/types"/>
    <ds:schemaRef ds:uri="http://purl.org/dc/elements/1.1/"/>
    <ds:schemaRef ds:uri="http://purl.org/dc/dcmitype/"/>
    <ds:schemaRef ds:uri="http://schemas.microsoft.com/sharepoint/v4"/>
    <ds:schemaRef ds:uri="http://purl.org/dc/terms/"/>
    <ds:schemaRef ds:uri="3b5ba2f1-c1ec-4383-9a92-34c1c420fb47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ec260b42-f1b0-4123-bc4d-9a2f0f594992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52FB885-FFA4-4058-9187-B34C2C4176A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585CA856-A510-412E-A9B1-9BE2598636F5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</vt:vector>
  </HeadingPairs>
  <TitlesOfParts>
    <vt:vector size="7" baseType="lpstr">
      <vt:lpstr>Version Info</vt:lpstr>
      <vt:lpstr>Calculator</vt:lpstr>
      <vt:lpstr>CoreView</vt:lpstr>
      <vt:lpstr>ClusterView</vt:lpstr>
      <vt:lpstr>L2CacheMisses</vt:lpstr>
      <vt:lpstr>InsnMix</vt:lpstr>
      <vt:lpstr>HVX</vt:lpstr>
    </vt:vector>
  </TitlesOfParts>
  <Company>Qualcomm Incorporated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G Sassone</dc:creator>
  <cp:lastModifiedBy>Qualcomm User</cp:lastModifiedBy>
  <dcterms:created xsi:type="dcterms:W3CDTF">2012-01-05T16:46:29Z</dcterms:created>
  <dcterms:modified xsi:type="dcterms:W3CDTF">2015-03-19T16:50:12Z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671423805</vt:i4>
  </property>
  <property fmtid="{D5CDD505-2E9C-101B-9397-08002B2CF9AE}" pid="3" name="_NewReviewCycle">
    <vt:lpwstr/>
  </property>
  <property fmtid="{D5CDD505-2E9C-101B-9397-08002B2CF9AE}" pid="4" name="_EmailSubject">
    <vt:lpwstr>new V61 PMU sheet</vt:lpwstr>
  </property>
  <property fmtid="{D5CDD505-2E9C-101B-9397-08002B2CF9AE}" pid="5" name="_AuthorEmail">
    <vt:lpwstr>lucianc@qti.qualcomm.com</vt:lpwstr>
  </property>
  <property fmtid="{D5CDD505-2E9C-101B-9397-08002B2CF9AE}" pid="6" name="_AuthorEmailDisplayName">
    <vt:lpwstr>Codrescu, Lucian</vt:lpwstr>
  </property>
  <property fmtid="{D5CDD505-2E9C-101B-9397-08002B2CF9AE}" pid="7" name="ContentTypeId">
    <vt:lpwstr>0x010100F2CEE95F68733E49BA8521C37200612E00429C20686C88F244BFE1BB581E0EB682</vt:lpwstr>
  </property>
  <property fmtid="{D5CDD505-2E9C-101B-9397-08002B2CF9AE}" pid="8" name="_dlc_DocIdItemGuid">
    <vt:lpwstr>4b689f8b-3c0f-439c-89c4-3f802adc615e</vt:lpwstr>
  </property>
  <property fmtid="{D5CDD505-2E9C-101B-9397-08002B2CF9AE}" pid="9" name="_PreviousAdHocReviewCycleID">
    <vt:i4>10944217</vt:i4>
  </property>
  <property fmtid="{D5CDD505-2E9C-101B-9397-08002B2CF9AE}" pid="10" name="_ReviewingToolsShownOnce">
    <vt:lpwstr/>
  </property>
</Properties>
</file>